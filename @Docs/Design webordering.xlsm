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U:\API\Orderpage\"/>
    </mc:Choice>
  </mc:AlternateContent>
  <xr:revisionPtr revIDLastSave="0" documentId="8_{BFB2E9C0-4E2D-4F60-A781-E04A04BB6FE1}" xr6:coauthVersionLast="46" xr6:coauthVersionMax="46" xr10:uidLastSave="{00000000-0000-0000-0000-000000000000}"/>
  <bookViews>
    <workbookView xWindow="28680" yWindow="-240" windowWidth="29040" windowHeight="15840" xr2:uid="{00000000-000D-0000-FFFF-FFFF00000000}"/>
  </bookViews>
  <sheets>
    <sheet name="Projectdescription" sheetId="1" r:id="rId1"/>
    <sheet name="Fill-in sheet Rectangular" sheetId="2" r:id="rId2"/>
    <sheet name="Fill-in sheet Round" sheetId="3" r:id="rId3"/>
    <sheet name="Montagemateriaal" sheetId="4" r:id="rId4"/>
    <sheet name="Totaalblad" sheetId="5" r:id="rId5"/>
  </sheets>
  <definedNames>
    <definedName name="_xlnm.Print_Titles" localSheetId="0">Projectdescription!$8:$18</definedName>
  </definedNames>
  <calcPr calcId="181029"/>
</workbook>
</file>

<file path=xl/calcChain.xml><?xml version="1.0" encoding="utf-8"?>
<calcChain xmlns="http://schemas.openxmlformats.org/spreadsheetml/2006/main">
  <c r="N13" i="2" l="1"/>
  <c r="O12" i="2"/>
  <c r="O10" i="2"/>
  <c r="N11" i="2"/>
  <c r="N10" i="2"/>
  <c r="Q25" i="2"/>
  <c r="P25" i="2"/>
  <c r="O25" i="2"/>
  <c r="N25" i="2"/>
  <c r="M25" i="2"/>
  <c r="L25" i="2"/>
  <c r="K25" i="2"/>
  <c r="J25" i="2"/>
  <c r="I25" i="2"/>
  <c r="H25" i="2"/>
  <c r="G25" i="2"/>
  <c r="F25" i="2"/>
  <c r="E25" i="2"/>
  <c r="D25" i="2"/>
  <c r="Q24" i="2"/>
  <c r="P24" i="2"/>
  <c r="O24" i="2"/>
  <c r="N24" i="2"/>
  <c r="M24" i="2"/>
  <c r="L24" i="2"/>
  <c r="K24" i="2"/>
  <c r="J24" i="2"/>
  <c r="I24" i="2"/>
  <c r="H24" i="2"/>
  <c r="Y24" i="2" s="1"/>
  <c r="G24" i="2"/>
  <c r="F24" i="2"/>
  <c r="E24" i="2"/>
  <c r="D24" i="2"/>
  <c r="Q23" i="2"/>
  <c r="P23" i="2"/>
  <c r="O23" i="2"/>
  <c r="N23" i="2"/>
  <c r="M23" i="2"/>
  <c r="L23" i="2"/>
  <c r="K23" i="2"/>
  <c r="J23" i="2"/>
  <c r="I23" i="2"/>
  <c r="H23" i="2"/>
  <c r="Y23" i="2" s="1"/>
  <c r="G23" i="2"/>
  <c r="F23" i="2"/>
  <c r="E23" i="2"/>
  <c r="D23" i="2"/>
  <c r="X22" i="2"/>
  <c r="Q22" i="2"/>
  <c r="P22" i="2"/>
  <c r="O22" i="2"/>
  <c r="N22" i="2"/>
  <c r="M22" i="2"/>
  <c r="W22" i="2" s="1"/>
  <c r="L22" i="2"/>
  <c r="K22" i="2"/>
  <c r="J22" i="2"/>
  <c r="I22" i="2"/>
  <c r="H22" i="2"/>
  <c r="Y22" i="2" s="1"/>
  <c r="G22" i="2"/>
  <c r="F22" i="2"/>
  <c r="E22" i="2"/>
  <c r="D22" i="2"/>
  <c r="Q21" i="2"/>
  <c r="P21" i="2"/>
  <c r="O21" i="2"/>
  <c r="N21" i="2"/>
  <c r="M21" i="2"/>
  <c r="L21" i="2"/>
  <c r="K21" i="2"/>
  <c r="J21" i="2"/>
  <c r="I21" i="2"/>
  <c r="H21" i="2"/>
  <c r="Y21" i="2" s="1"/>
  <c r="G21" i="2"/>
  <c r="F21" i="2"/>
  <c r="E21" i="2"/>
  <c r="D21" i="2"/>
  <c r="X20" i="2"/>
  <c r="Q20" i="2"/>
  <c r="P20" i="2"/>
  <c r="O20" i="2"/>
  <c r="N20" i="2"/>
  <c r="M20" i="2"/>
  <c r="W20" i="2" s="1"/>
  <c r="L20" i="2"/>
  <c r="K20" i="2"/>
  <c r="J20" i="2"/>
  <c r="I20" i="2"/>
  <c r="H20" i="2"/>
  <c r="Y20" i="2" s="1"/>
  <c r="G20" i="2"/>
  <c r="F20" i="2"/>
  <c r="E20" i="2"/>
  <c r="D20" i="2"/>
  <c r="X19" i="2"/>
  <c r="Q19" i="2"/>
  <c r="P19" i="2"/>
  <c r="O19" i="2"/>
  <c r="N19" i="2"/>
  <c r="M19" i="2"/>
  <c r="W19" i="2" s="1"/>
  <c r="L19" i="2"/>
  <c r="K19" i="2"/>
  <c r="J19" i="2"/>
  <c r="I19" i="2"/>
  <c r="H19" i="2"/>
  <c r="Y19" i="2" s="1"/>
  <c r="G19" i="2"/>
  <c r="F19" i="2"/>
  <c r="E19" i="2"/>
  <c r="D19" i="2"/>
  <c r="Q18" i="2"/>
  <c r="P18" i="2"/>
  <c r="O18" i="2"/>
  <c r="N18" i="2"/>
  <c r="M18" i="2"/>
  <c r="L18" i="2"/>
  <c r="K18" i="2"/>
  <c r="J18" i="2"/>
  <c r="I18" i="2"/>
  <c r="H18" i="2"/>
  <c r="Y18" i="2" s="1"/>
  <c r="G18" i="2"/>
  <c r="F18" i="2"/>
  <c r="E18" i="2"/>
  <c r="D18" i="2"/>
  <c r="Q17" i="2"/>
  <c r="P17" i="2"/>
  <c r="O17" i="2"/>
  <c r="N17" i="2"/>
  <c r="M17" i="2"/>
  <c r="L17" i="2"/>
  <c r="K17" i="2"/>
  <c r="J17" i="2"/>
  <c r="I17" i="2"/>
  <c r="H17" i="2"/>
  <c r="Y17" i="2" s="1"/>
  <c r="G17" i="2"/>
  <c r="F17" i="2"/>
  <c r="E17" i="2"/>
  <c r="D17" i="2"/>
  <c r="Q16" i="2"/>
  <c r="P16" i="2"/>
  <c r="O16" i="2"/>
  <c r="N16" i="2"/>
  <c r="M16" i="2"/>
  <c r="L16" i="2"/>
  <c r="K16" i="2"/>
  <c r="J16" i="2"/>
  <c r="I16" i="2"/>
  <c r="H16" i="2"/>
  <c r="Y16" i="2" s="1"/>
  <c r="G16" i="2"/>
  <c r="F16" i="2"/>
  <c r="E16" i="2"/>
  <c r="D16" i="2"/>
  <c r="X15" i="2"/>
  <c r="Q15" i="2"/>
  <c r="P15" i="2"/>
  <c r="O15" i="2"/>
  <c r="N15" i="2"/>
  <c r="M15" i="2"/>
  <c r="W15" i="2" s="1"/>
  <c r="L15" i="2"/>
  <c r="K15" i="2"/>
  <c r="J15" i="2"/>
  <c r="I15" i="2"/>
  <c r="H15" i="2"/>
  <c r="Y15" i="2" s="1"/>
  <c r="G15" i="2"/>
  <c r="F15" i="2"/>
  <c r="E15" i="2"/>
  <c r="D15" i="2"/>
  <c r="X14" i="2"/>
  <c r="Q14" i="2"/>
  <c r="P14" i="2"/>
  <c r="O14" i="2"/>
  <c r="N14" i="2"/>
  <c r="M14" i="2"/>
  <c r="W14" i="2" s="1"/>
  <c r="L14" i="2"/>
  <c r="K14" i="2"/>
  <c r="J14" i="2"/>
  <c r="I14" i="2"/>
  <c r="H14" i="2"/>
  <c r="Y14" i="2" s="1"/>
  <c r="G14" i="2"/>
  <c r="F14" i="2"/>
  <c r="E14" i="2"/>
  <c r="D14" i="2"/>
  <c r="X13" i="2"/>
  <c r="Q13" i="2"/>
  <c r="P13" i="2"/>
  <c r="O13" i="2"/>
  <c r="M13" i="2"/>
  <c r="L13" i="2"/>
  <c r="K13" i="2"/>
  <c r="J13" i="2"/>
  <c r="I13" i="2"/>
  <c r="H13" i="2"/>
  <c r="Y13" i="2" s="1"/>
  <c r="G13" i="2"/>
  <c r="F13" i="2"/>
  <c r="E13" i="2"/>
  <c r="D13" i="2"/>
  <c r="X12" i="2"/>
  <c r="Q12" i="2"/>
  <c r="P12" i="2"/>
  <c r="N12" i="2"/>
  <c r="M12" i="2"/>
  <c r="L12" i="2"/>
  <c r="K12" i="2"/>
  <c r="J12" i="2"/>
  <c r="I12" i="2"/>
  <c r="H12" i="2"/>
  <c r="Y12" i="2" s="1"/>
  <c r="G12" i="2"/>
  <c r="F12" i="2"/>
  <c r="E12" i="2"/>
  <c r="D12" i="2"/>
  <c r="X11" i="2"/>
  <c r="Q11" i="2"/>
  <c r="P11" i="2"/>
  <c r="O11" i="2"/>
  <c r="M11" i="2"/>
  <c r="L11" i="2"/>
  <c r="K11" i="2"/>
  <c r="J11" i="2"/>
  <c r="I11" i="2"/>
  <c r="H11" i="2"/>
  <c r="Y11" i="2" s="1"/>
  <c r="G11" i="2"/>
  <c r="F11" i="2"/>
  <c r="E11" i="2"/>
  <c r="D11" i="2"/>
  <c r="Q10" i="2"/>
  <c r="P10" i="2"/>
  <c r="M10" i="2"/>
  <c r="L10" i="2"/>
  <c r="K10" i="2"/>
  <c r="J10" i="2"/>
  <c r="I10" i="2"/>
  <c r="H10" i="2"/>
  <c r="Y10" i="2" s="1"/>
  <c r="G10" i="2"/>
  <c r="F10" i="2"/>
  <c r="E10" i="2"/>
  <c r="D10" i="2"/>
  <c r="A10" i="2"/>
  <c r="A11" i="2" s="1"/>
  <c r="Z9" i="2"/>
  <c r="X9" i="2"/>
  <c r="T9" i="2"/>
  <c r="S9" i="2"/>
  <c r="R9" i="2"/>
  <c r="Q9" i="2"/>
  <c r="P9" i="2"/>
  <c r="O9" i="2"/>
  <c r="N9" i="2"/>
  <c r="M9" i="2"/>
  <c r="L9" i="2"/>
  <c r="K9" i="2"/>
  <c r="J9" i="2"/>
  <c r="I9" i="2"/>
  <c r="H9" i="2"/>
  <c r="Y9" i="2" s="1"/>
  <c r="G9" i="2"/>
  <c r="F9" i="2"/>
  <c r="E9" i="2"/>
  <c r="D9" i="2"/>
  <c r="C9" i="2"/>
  <c r="Z8" i="2"/>
  <c r="Y8" i="2"/>
  <c r="X8" i="2"/>
  <c r="V8" i="2"/>
  <c r="N8" i="2"/>
  <c r="M8" i="2"/>
  <c r="W8" i="2" s="1"/>
  <c r="E8" i="2"/>
  <c r="D8" i="2"/>
  <c r="A12" i="2" l="1"/>
  <c r="Z11" i="2"/>
  <c r="C11" i="2"/>
  <c r="C10" i="2"/>
  <c r="Z10" i="2"/>
  <c r="Z12" i="2" l="1"/>
  <c r="C12" i="2"/>
  <c r="A13" i="2"/>
  <c r="A14" i="2" l="1"/>
  <c r="Z13" i="2"/>
  <c r="C13" i="2"/>
  <c r="Z14" i="2" l="1"/>
  <c r="C14" i="2"/>
  <c r="A15" i="2"/>
  <c r="A16" i="2" l="1"/>
  <c r="C15" i="2"/>
  <c r="Z15" i="2"/>
  <c r="A17" i="2" l="1"/>
  <c r="Z16" i="2"/>
  <c r="C16" i="2"/>
  <c r="Z17" i="2" l="1"/>
  <c r="C17" i="2"/>
  <c r="A18" i="2"/>
  <c r="Z18" i="2" l="1"/>
  <c r="A19" i="2"/>
  <c r="C18" i="2"/>
  <c r="A20" i="2" l="1"/>
  <c r="Z19" i="2"/>
  <c r="C19" i="2"/>
  <c r="C20" i="2" l="1"/>
  <c r="Z20" i="2"/>
  <c r="A21" i="2"/>
  <c r="A22" i="2" l="1"/>
  <c r="Z21" i="2"/>
  <c r="A23" i="2" l="1"/>
  <c r="Z22" i="2"/>
  <c r="Z23" i="2" l="1"/>
  <c r="C23" i="2"/>
  <c r="A24" i="2"/>
  <c r="C24" i="2" l="1"/>
  <c r="Z24" i="2"/>
</calcChain>
</file>

<file path=xl/sharedStrings.xml><?xml version="1.0" encoding="utf-8"?>
<sst xmlns="http://schemas.openxmlformats.org/spreadsheetml/2006/main" count="286" uniqueCount="189">
  <si>
    <t>Pos</t>
  </si>
  <si>
    <t>Code</t>
  </si>
  <si>
    <t>A</t>
  </si>
  <si>
    <t>B</t>
  </si>
  <si>
    <t>C</t>
  </si>
  <si>
    <t>Aan-</t>
  </si>
  <si>
    <t>tal</t>
  </si>
  <si>
    <t xml:space="preserve">D </t>
  </si>
  <si>
    <t>verbindingen</t>
  </si>
  <si>
    <t>Opmerkingen</t>
  </si>
  <si>
    <t>Opdrachtgever:</t>
  </si>
  <si>
    <t>Project:</t>
  </si>
  <si>
    <t>Afleveradres:</t>
  </si>
  <si>
    <t>Projectnr.:</t>
  </si>
  <si>
    <t>Refnr.:</t>
  </si>
  <si>
    <t>Leverdatum:</t>
  </si>
  <si>
    <t>F</t>
  </si>
  <si>
    <t>E</t>
  </si>
  <si>
    <t>RH Bocht</t>
  </si>
  <si>
    <t>RH T-Stuk</t>
  </si>
  <si>
    <t>RH Sprong</t>
  </si>
  <si>
    <t>RH Aftakking</t>
  </si>
  <si>
    <t>RH Vierkant-Rond</t>
  </si>
  <si>
    <t>RH-S Bocht 2x</t>
  </si>
  <si>
    <t>G1</t>
  </si>
  <si>
    <t>G2</t>
  </si>
  <si>
    <t>H1</t>
  </si>
  <si>
    <t>H2</t>
  </si>
  <si>
    <t>I1</t>
  </si>
  <si>
    <t>I2</t>
  </si>
  <si>
    <t>K1</t>
  </si>
  <si>
    <t>K2</t>
  </si>
  <si>
    <t>RH Deksel</t>
  </si>
  <si>
    <t>RH Afgesch. Kanaal</t>
  </si>
  <si>
    <t>L2</t>
  </si>
  <si>
    <t>RH Plenum</t>
  </si>
  <si>
    <t>RH VP Raam</t>
  </si>
  <si>
    <t>RH Vlakke Plaat</t>
  </si>
  <si>
    <t>RH Flexibel</t>
  </si>
  <si>
    <t>RH Recht kanaal</t>
  </si>
  <si>
    <t>RH Verloop</t>
  </si>
  <si>
    <t>RH-S Bocht en Verloop</t>
  </si>
  <si>
    <t>RH-S Bocht + Vierkant-rond</t>
  </si>
  <si>
    <t>TDC25</t>
  </si>
  <si>
    <t>L1</t>
  </si>
  <si>
    <t>L3</t>
  </si>
  <si>
    <t>P25</t>
  </si>
  <si>
    <t>L4</t>
  </si>
  <si>
    <t>Other value</t>
  </si>
  <si>
    <t>Projectname</t>
  </si>
  <si>
    <t>Translation (for your information)</t>
  </si>
  <si>
    <t>Opdrachtgever</t>
  </si>
  <si>
    <t>Customer</t>
  </si>
  <si>
    <t>Project</t>
  </si>
  <si>
    <t>Projectnr</t>
  </si>
  <si>
    <t>Projectnumber</t>
  </si>
  <si>
    <t>Refnr.</t>
  </si>
  <si>
    <t>Reference number</t>
  </si>
  <si>
    <t>Afleveradres</t>
  </si>
  <si>
    <t>Deliveryadress</t>
  </si>
  <si>
    <t>Leverdatum</t>
  </si>
  <si>
    <t>Delivery date</t>
  </si>
  <si>
    <t>Rechthoekig kanaalwerk</t>
  </si>
  <si>
    <t>Rond kanaalwerk</t>
  </si>
  <si>
    <t>Totaal</t>
  </si>
  <si>
    <t>Rectangular ductwork</t>
  </si>
  <si>
    <t>Round ductwork</t>
  </si>
  <si>
    <t>Total list</t>
  </si>
  <si>
    <t>Breedte</t>
  </si>
  <si>
    <t>Width</t>
  </si>
  <si>
    <t>Diepte</t>
  </si>
  <si>
    <t>Depth</t>
  </si>
  <si>
    <t>Width left</t>
  </si>
  <si>
    <t>Breedte Boven</t>
  </si>
  <si>
    <t>Breedte Onder</t>
  </si>
  <si>
    <t>Breedte Links</t>
  </si>
  <si>
    <t>Breedte Linksonder</t>
  </si>
  <si>
    <t xml:space="preserve">Breedte Bocht onder </t>
  </si>
  <si>
    <t>Breedte schuine zijde</t>
  </si>
  <si>
    <t>Width slope side</t>
  </si>
  <si>
    <t>Width top</t>
  </si>
  <si>
    <t>Widht left</t>
  </si>
  <si>
    <t>Width Bottom left side</t>
  </si>
  <si>
    <t>Width Bend bottom</t>
  </si>
  <si>
    <t>Breedte Rechts</t>
  </si>
  <si>
    <t>Width right</t>
  </si>
  <si>
    <t>Breedte Bocht boven</t>
  </si>
  <si>
    <t>Widht Bend top</t>
  </si>
  <si>
    <t>Diepte boven</t>
  </si>
  <si>
    <t>Depth top</t>
  </si>
  <si>
    <t>Breedte linksboven</t>
  </si>
  <si>
    <t>Width left top</t>
  </si>
  <si>
    <t>Diepte onder</t>
  </si>
  <si>
    <t>Depth bottom</t>
  </si>
  <si>
    <t>Breedte Rechtsboven</t>
  </si>
  <si>
    <t>Width at the top right</t>
  </si>
  <si>
    <t>Verloop Breedte Boven</t>
  </si>
  <si>
    <t>Taper Width Top</t>
  </si>
  <si>
    <t>Verloop Diepte Boven</t>
  </si>
  <si>
    <t>Taper Depth Above</t>
  </si>
  <si>
    <t>Graden</t>
  </si>
  <si>
    <t>Degree</t>
  </si>
  <si>
    <t>Graden links</t>
  </si>
  <si>
    <t>Degree left</t>
  </si>
  <si>
    <t>Graden Rechts</t>
  </si>
  <si>
    <t>Degree right</t>
  </si>
  <si>
    <t>Radius Links</t>
  </si>
  <si>
    <t>Radius</t>
  </si>
  <si>
    <t>Radius Left</t>
  </si>
  <si>
    <t>Radius Rechts</t>
  </si>
  <si>
    <t>Radius Right</t>
  </si>
  <si>
    <t>Extension left</t>
  </si>
  <si>
    <t>Extensie Onder</t>
  </si>
  <si>
    <t>Extensie Boven</t>
  </si>
  <si>
    <t>Extensie Links</t>
  </si>
  <si>
    <t>Extension top</t>
  </si>
  <si>
    <t>Extension bottom</t>
  </si>
  <si>
    <t>Offset Width</t>
  </si>
  <si>
    <t>Extensie Bocht</t>
  </si>
  <si>
    <t>Exentions Bend</t>
  </si>
  <si>
    <t>Extensie Onder Rechts</t>
  </si>
  <si>
    <t>Extension right bottom</t>
  </si>
  <si>
    <t xml:space="preserve">Offset Breedte </t>
  </si>
  <si>
    <t>Aantal</t>
  </si>
  <si>
    <t>B45</t>
  </si>
  <si>
    <t>B90</t>
  </si>
  <si>
    <t>Spirobocht 45gr</t>
  </si>
  <si>
    <t>Spirobocht 90gr</t>
  </si>
  <si>
    <t>Verbinding hulpstuk</t>
  </si>
  <si>
    <t>Zadel 90gr</t>
  </si>
  <si>
    <t>Zadel 45gr</t>
  </si>
  <si>
    <t>Deksel t.b.v. buis</t>
  </si>
  <si>
    <t>Platte tuit 90gr</t>
  </si>
  <si>
    <t>Platte tuit 45gr</t>
  </si>
  <si>
    <t>Spirobuis, lengte 3M.</t>
  </si>
  <si>
    <t>Diameter 1</t>
  </si>
  <si>
    <t>Diameter 2</t>
  </si>
  <si>
    <t>Montagemateriaal</t>
  </si>
  <si>
    <t>Montagerail 30x43mm.</t>
  </si>
  <si>
    <t>Montagerail 30x20mm.</t>
  </si>
  <si>
    <t>Montagerail 30x15mm.</t>
  </si>
  <si>
    <t>Montageband kunststof</t>
  </si>
  <si>
    <t>Montagetape 50mm. 15m.</t>
  </si>
  <si>
    <t>Plafondanker</t>
  </si>
  <si>
    <t>Profielklem</t>
  </si>
  <si>
    <t>Slangenklem 60_135</t>
  </si>
  <si>
    <t>Slangenklem 60_165</t>
  </si>
  <si>
    <t>Slangenklem 60_215</t>
  </si>
  <si>
    <t>Slangenklem 60_270</t>
  </si>
  <si>
    <t>Slangenklem 60_325</t>
  </si>
  <si>
    <t>Slangklembandsluiting</t>
  </si>
  <si>
    <t>Slangklemband</t>
  </si>
  <si>
    <t>Slotbout M8x25</t>
  </si>
  <si>
    <t>Slotbout M8x30</t>
  </si>
  <si>
    <t>Snelanker M6x35</t>
  </si>
  <si>
    <t>Snelhanger 15-150</t>
  </si>
  <si>
    <t>Tapbout M8x25</t>
  </si>
  <si>
    <t>TDC Clip</t>
  </si>
  <si>
    <t>Tochtband</t>
  </si>
  <si>
    <t>Tuimelplug M8</t>
  </si>
  <si>
    <t>Zeskantmoer M8</t>
  </si>
  <si>
    <t>Balkklem_M8 (200 stuks)</t>
  </si>
  <si>
    <t>Bevestigingsanker M8 (100 stuks)</t>
  </si>
  <si>
    <t>Boorschroef 42_13 (500 stuks)</t>
  </si>
  <si>
    <t>Boorschroef 42_19 (500 stuks)</t>
  </si>
  <si>
    <t>Boorschroef 63_19 (500 stuks)</t>
  </si>
  <si>
    <t>Carrosseriering M8x30 (200 stuks)</t>
  </si>
  <si>
    <t>Beugel met rubber (per stuk)</t>
  </si>
  <si>
    <t>Draadeind M8_2000 (per stuk)</t>
  </si>
  <si>
    <t>Expressanker M8x15 (100 stuks)</t>
  </si>
  <si>
    <t>Lengte</t>
  </si>
  <si>
    <t>Flensmoer M8ZB (200 stuks)</t>
  </si>
  <si>
    <t>Inslaganker M8x30 (100 stuks)</t>
  </si>
  <si>
    <t>Kabelband 7,5 x 540mm (per stuk)</t>
  </si>
  <si>
    <t>Siliconenkit Neutraal (1 tube)</t>
  </si>
  <si>
    <t>Koppelmoer M8x25 (100 stuks)</t>
  </si>
  <si>
    <t>Kozijnplug 5x50 (200 stuks)</t>
  </si>
  <si>
    <t>Luchtbev. hoek M8 (100 stuks)</t>
  </si>
  <si>
    <t>Messingplug M8x30 (100 stuks)</t>
  </si>
  <si>
    <t>Verbinding buis</t>
  </si>
  <si>
    <t>Verloop sym</t>
  </si>
  <si>
    <t>Verloop A-sym</t>
  </si>
  <si>
    <t>Regelklep</t>
  </si>
  <si>
    <t>T-stuk</t>
  </si>
  <si>
    <t>Totaalblad</t>
  </si>
  <si>
    <t>Order bevestigen</t>
  </si>
  <si>
    <t xml:space="preserve">CC email order naar: </t>
  </si>
  <si>
    <t>Verwijder</t>
  </si>
  <si>
    <t>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</si>
</sst>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"/>
  </numFmts>
  <fonts count="7" x14ac:knownFonts="1">
    <font>
      <sz val="10"/>
      <name val="Arial"/>
    </font>
    <font>
      <sz val="12"/>
      <name val="Arial"/>
      <family val="2"/>
    </font>
    <font>
      <sz val="8"/>
      <name val="Arial"/>
      <family val="2"/>
    </font>
    <font>
      <sz val="10"/>
      <name val="Arial"/>
      <family val="2"/>
    </font>
    <font>
      <sz val="11"/>
      <name val="Arial"/>
      <family val="2"/>
    </font>
    <font>
      <b/>
      <sz val="11"/>
      <name val="Arial"/>
      <family val="2"/>
    </font>
    <font>
      <i/>
      <sz val="11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</borders>
  <cellStyleXfs count="1">
    <xf numFmtId="0" fontId="0" fillId="0" borderId="0"/>
  </cellStyleXfs>
  <cellXfs count="88">
    <xf numFmtId="0" fontId="0" fillId="0" borderId="0" xfId="0"/>
    <xf numFmtId="0" fontId="4" fillId="0" borderId="0" xfId="0" applyFont="1" applyBorder="1"/>
    <xf numFmtId="0" fontId="4" fillId="0" borderId="0" xfId="0" applyFont="1"/>
    <xf numFmtId="0" fontId="1" fillId="0" borderId="1" xfId="0" applyFont="1" applyBorder="1" applyAlignment="1" applyProtection="1">
      <alignment horizontal="center"/>
      <protection hidden="1"/>
    </xf>
    <xf numFmtId="0" fontId="1" fillId="0" borderId="1" xfId="0" applyFont="1" applyBorder="1" applyAlignment="1" applyProtection="1">
      <alignment horizontal="left"/>
      <protection hidden="1"/>
    </xf>
    <xf numFmtId="0" fontId="1" fillId="0" borderId="1" xfId="0" applyFont="1" applyBorder="1" applyAlignment="1">
      <alignment horizontal="center"/>
    </xf>
    <xf numFmtId="0" fontId="4" fillId="0" borderId="0" xfId="0" applyNumberFormat="1" applyFont="1" applyProtection="1"/>
    <xf numFmtId="0" fontId="1" fillId="0" borderId="1" xfId="0" applyFont="1" applyBorder="1"/>
    <xf numFmtId="0" fontId="0" fillId="0" borderId="0" xfId="0" applyBorder="1" applyAlignment="1"/>
    <xf numFmtId="0" fontId="1" fillId="0" borderId="0" xfId="0" applyFont="1" applyBorder="1" applyAlignment="1">
      <alignment horizontal="left"/>
    </xf>
    <xf numFmtId="0" fontId="1" fillId="0" borderId="0" xfId="0" applyFont="1" applyBorder="1"/>
    <xf numFmtId="0" fontId="1" fillId="0" borderId="0" xfId="0" applyFont="1" applyBorder="1" applyAlignment="1" applyProtection="1">
      <alignment horizontal="left"/>
      <protection hidden="1"/>
    </xf>
    <xf numFmtId="0" fontId="1" fillId="0" borderId="1" xfId="0" applyFont="1" applyBorder="1" applyAlignment="1">
      <alignment horizontal="left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1" fillId="0" borderId="1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3" fillId="0" borderId="0" xfId="0" applyFont="1"/>
    <xf numFmtId="0" fontId="3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3" fillId="0" borderId="1" xfId="0" applyFont="1" applyBorder="1" applyAlignment="1" applyProtection="1">
      <alignment horizontal="center"/>
      <protection hidden="1"/>
    </xf>
    <xf numFmtId="0" fontId="0" fillId="0" borderId="4" xfId="0" applyBorder="1" applyAlignment="1"/>
    <xf numFmtId="0" fontId="0" fillId="0" borderId="5" xfId="0" applyBorder="1" applyAlignment="1"/>
    <xf numFmtId="0" fontId="1" fillId="0" borderId="1" xfId="0" applyFont="1" applyBorder="1" applyAlignment="1">
      <alignment horizontal="center"/>
    </xf>
    <xf numFmtId="0" fontId="4" fillId="0" borderId="1" xfId="0" applyFont="1" applyBorder="1" applyAlignment="1" applyProtection="1">
      <alignment horizontal="center"/>
      <protection hidden="1"/>
    </xf>
    <xf numFmtId="0" fontId="4" fillId="0" borderId="4" xfId="0" applyFont="1" applyBorder="1" applyAlignment="1">
      <alignment horizontal="left"/>
    </xf>
    <xf numFmtId="0" fontId="4" fillId="0" borderId="5" xfId="0" applyFont="1" applyBorder="1" applyAlignment="1">
      <alignment horizontal="left"/>
    </xf>
    <xf numFmtId="0" fontId="4" fillId="0" borderId="1" xfId="0" applyFont="1" applyBorder="1" applyAlignment="1" applyProtection="1">
      <alignment horizontal="left"/>
      <protection hidden="1"/>
    </xf>
    <xf numFmtId="0" fontId="4" fillId="0" borderId="0" xfId="0" applyFont="1" applyBorder="1" applyAlignment="1" applyProtection="1">
      <alignment horizontal="left"/>
      <protection hidden="1"/>
    </xf>
    <xf numFmtId="0" fontId="3" fillId="0" borderId="4" xfId="0" applyFont="1" applyBorder="1" applyAlignment="1">
      <alignment horizontal="left"/>
    </xf>
    <xf numFmtId="0" fontId="3" fillId="0" borderId="5" xfId="0" applyFont="1" applyBorder="1" applyAlignment="1">
      <alignment horizontal="left"/>
    </xf>
    <xf numFmtId="0" fontId="3" fillId="0" borderId="1" xfId="0" applyFont="1" applyBorder="1" applyAlignment="1" applyProtection="1">
      <alignment horizontal="left"/>
      <protection hidden="1"/>
    </xf>
    <xf numFmtId="0" fontId="3" fillId="0" borderId="0" xfId="0" applyFont="1" applyBorder="1" applyAlignment="1" applyProtection="1">
      <alignment horizontal="left"/>
      <protection hidden="1"/>
    </xf>
    <xf numFmtId="0" fontId="3" fillId="0" borderId="0" xfId="0" applyFont="1" applyBorder="1"/>
    <xf numFmtId="0" fontId="1" fillId="0" borderId="1" xfId="0" applyFont="1" applyBorder="1" applyAlignment="1" applyProtection="1">
      <alignment horizontal="center"/>
      <protection locked="0" hidden="1"/>
    </xf>
    <xf numFmtId="0" fontId="3" fillId="0" borderId="1" xfId="0" applyFont="1" applyBorder="1" applyAlignment="1" applyProtection="1">
      <alignment horizontal="center"/>
      <protection locked="0" hidden="1"/>
    </xf>
    <xf numFmtId="0" fontId="1" fillId="0" borderId="3" xfId="0" applyFont="1" applyBorder="1" applyAlignment="1" applyProtection="1">
      <alignment horizontal="center"/>
      <protection hidden="1"/>
    </xf>
    <xf numFmtId="0" fontId="3" fillId="0" borderId="3" xfId="0" applyFont="1" applyBorder="1" applyAlignment="1" applyProtection="1">
      <alignment horizontal="center"/>
      <protection hidden="1"/>
    </xf>
    <xf numFmtId="0" fontId="4" fillId="0" borderId="1" xfId="0" applyFont="1" applyBorder="1" applyProtection="1">
      <protection locked="0"/>
    </xf>
    <xf numFmtId="0" fontId="3" fillId="0" borderId="1" xfId="0" applyFont="1" applyBorder="1" applyProtection="1">
      <protection locked="0"/>
    </xf>
    <xf numFmtId="0" fontId="4" fillId="0" borderId="1" xfId="0" applyFont="1" applyBorder="1"/>
    <xf numFmtId="0" fontId="4" fillId="0" borderId="1" xfId="0" applyFont="1" applyBorder="1" applyAlignment="1">
      <alignment horizontal="left" indent="1"/>
    </xf>
    <xf numFmtId="0" fontId="0" fillId="0" borderId="1" xfId="0" applyBorder="1" applyAlignment="1">
      <alignment horizontal="left" indent="1"/>
    </xf>
    <xf numFmtId="0" fontId="1" fillId="0" borderId="1" xfId="0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0" fillId="0" borderId="1" xfId="0" applyBorder="1" applyAlignment="1"/>
    <xf numFmtId="0" fontId="4" fillId="0" borderId="4" xfId="0" applyFont="1" applyBorder="1" applyAlignment="1">
      <alignment horizontal="center"/>
    </xf>
    <xf numFmtId="0" fontId="4" fillId="0" borderId="5" xfId="0" applyFont="1" applyBorder="1" applyAlignment="1">
      <alignment horizontal="center"/>
    </xf>
    <xf numFmtId="0" fontId="4" fillId="0" borderId="3" xfId="0" applyFont="1" applyBorder="1" applyAlignment="1"/>
    <xf numFmtId="0" fontId="4" fillId="0" borderId="4" xfId="0" applyFont="1" applyBorder="1" applyAlignment="1"/>
    <xf numFmtId="0" fontId="4" fillId="0" borderId="5" xfId="0" applyFont="1" applyBorder="1" applyAlignment="1"/>
    <xf numFmtId="0" fontId="4" fillId="0" borderId="1" xfId="0" applyFont="1" applyBorder="1" applyAlignment="1"/>
    <xf numFmtId="0" fontId="4" fillId="0" borderId="1" xfId="0" applyFont="1" applyBorder="1" applyAlignment="1">
      <alignment horizontal="left"/>
    </xf>
    <xf numFmtId="0" fontId="0" fillId="0" borderId="1" xfId="0" applyBorder="1" applyAlignment="1">
      <alignment horizontal="left"/>
    </xf>
    <xf numFmtId="0" fontId="4" fillId="0" borderId="6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6" xfId="0" applyFont="1" applyBorder="1" applyAlignment="1">
      <alignment horizontal="left" vertical="top"/>
    </xf>
    <xf numFmtId="0" fontId="4" fillId="0" borderId="2" xfId="0" applyFont="1" applyBorder="1" applyAlignment="1">
      <alignment horizontal="left" vertical="top"/>
    </xf>
    <xf numFmtId="0" fontId="4" fillId="0" borderId="7" xfId="0" applyFont="1" applyBorder="1" applyAlignment="1">
      <alignment horizontal="left" vertical="top"/>
    </xf>
    <xf numFmtId="0" fontId="4" fillId="0" borderId="13" xfId="0" applyFont="1" applyBorder="1" applyAlignment="1">
      <alignment horizontal="left" vertical="top"/>
    </xf>
    <xf numFmtId="0" fontId="4" fillId="0" borderId="0" xfId="0" applyFont="1" applyBorder="1" applyAlignment="1">
      <alignment horizontal="left" vertical="top"/>
    </xf>
    <xf numFmtId="0" fontId="4" fillId="0" borderId="14" xfId="0" applyFont="1" applyBorder="1" applyAlignment="1">
      <alignment horizontal="left" vertical="top"/>
    </xf>
    <xf numFmtId="0" fontId="4" fillId="0" borderId="10" xfId="0" applyFont="1" applyBorder="1" applyAlignment="1">
      <alignment horizontal="left" vertical="top"/>
    </xf>
    <xf numFmtId="0" fontId="4" fillId="0" borderId="11" xfId="0" applyFont="1" applyBorder="1" applyAlignment="1">
      <alignment horizontal="left" vertical="top"/>
    </xf>
    <xf numFmtId="0" fontId="4" fillId="0" borderId="12" xfId="0" applyFont="1" applyBorder="1" applyAlignment="1">
      <alignment horizontal="left" vertical="top"/>
    </xf>
    <xf numFmtId="0" fontId="4" fillId="0" borderId="0" xfId="0" applyFont="1" applyAlignment="1">
      <alignment horizontal="center"/>
    </xf>
    <xf numFmtId="0" fontId="5" fillId="0" borderId="8" xfId="0" applyFont="1" applyBorder="1" applyAlignment="1">
      <alignment horizontal="center" vertical="center"/>
    </xf>
    <xf numFmtId="0" fontId="5" fillId="0" borderId="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10" xfId="0" applyFont="1" applyBorder="1" applyAlignment="1">
      <alignment horizontal="center" vertical="center"/>
    </xf>
    <xf numFmtId="0" fontId="5" fillId="0" borderId="12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3" fillId="0" borderId="0" xfId="0" applyFont="1" applyAlignment="1">
      <alignment horizontal="left"/>
    </xf>
    <xf numFmtId="0" fontId="6" fillId="0" borderId="0" xfId="0" applyFont="1" applyAlignment="1">
      <alignment horizontal="center"/>
    </xf>
    <xf numFmtId="0" fontId="6" fillId="0" borderId="0" xfId="0" applyFont="1"/>
    <xf numFmtId="0" fontId="6" fillId="0" borderId="0" xfId="0" applyFont="1" applyAlignment="1">
      <alignment horizontal="left"/>
    </xf>
    <xf numFmtId="0" fontId="6" fillId="0" borderId="0" xfId="0" applyFont="1" applyAlignment="1">
      <alignment horizontal="left"/>
    </xf>
    <xf numFmtId="0" fontId="3" fillId="0" borderId="0" xfId="0" applyFont="1" applyFill="1" applyBorder="1"/>
    <xf numFmtId="0" fontId="1" fillId="0" borderId="3" xfId="0" applyFont="1" applyBorder="1" applyAlignment="1"/>
    <xf numFmtId="0" fontId="1" fillId="0" borderId="0" xfId="0" applyFont="1"/>
    <xf numFmtId="14" fontId="4" fillId="0" borderId="3" xfId="0" applyNumberFormat="1" applyFont="1" applyBorder="1" applyAlignment="1">
      <alignment horizontal="center"/>
    </xf>
    <xf numFmtId="164" fontId="4" fillId="0" borderId="0" xfId="0" applyNumberFormat="1" applyFont="1" applyBorder="1" applyAlignment="1"/>
  </cellXfs>
  <cellStyles count="1">
    <cellStyle name="Standaard" xfId="0" builtinId="0"/>
  </cellStyles>
  <dxfs count="1602"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00B0F0"/>
      </font>
    </dxf>
    <dxf>
      <font>
        <b/>
        <i/>
        <color rgb="FFFF0000"/>
      </font>
    </dxf>
    <dxf>
      <font>
        <b/>
        <i/>
        <color rgb="FFFF0000"/>
      </font>
    </dxf>
    <dxf>
      <font>
        <b/>
        <i val="0"/>
        <color rgb="FF00B0F0"/>
      </font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5</xdr:col>
      <xdr:colOff>465605</xdr:colOff>
      <xdr:row>0</xdr:row>
      <xdr:rowOff>89647</xdr:rowOff>
    </xdr:from>
    <xdr:to>
      <xdr:col>7</xdr:col>
      <xdr:colOff>1502463</xdr:colOff>
      <xdr:row>6</xdr:row>
      <xdr:rowOff>86778</xdr:rowOff>
    </xdr:to>
    <xdr:pic>
      <xdr:nvPicPr>
        <xdr:cNvPr id="3" name="Afbeelding 2">
          <a:extLst>
            <a:ext uri="{FF2B5EF4-FFF2-40B4-BE49-F238E27FC236}">
              <a16:creationId xmlns:a16="http://schemas.microsoft.com/office/drawing/2014/main" id="{7E868D18-32AD-4744-94CE-D429C1F3F04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95340" y="89647"/>
          <a:ext cx="2740152" cy="107289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22</xdr:col>
      <xdr:colOff>180102</xdr:colOff>
      <xdr:row>0</xdr:row>
      <xdr:rowOff>176891</xdr:rowOff>
    </xdr:from>
    <xdr:to>
      <xdr:col>24</xdr:col>
      <xdr:colOff>1782537</xdr:colOff>
      <xdr:row>3</xdr:row>
      <xdr:rowOff>68035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B4D397D8-33FA-40BE-BE70-75A6B187A47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85923" y="176891"/>
          <a:ext cx="2745435" cy="1074965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838200</xdr:colOff>
      <xdr:row>0</xdr:row>
      <xdr:rowOff>57150</xdr:rowOff>
    </xdr:from>
    <xdr:to>
      <xdr:col>4</xdr:col>
      <xdr:colOff>59385</xdr:colOff>
      <xdr:row>0</xdr:row>
      <xdr:rowOff>1132115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B4EC4DE4-AB2E-4462-9B0F-6042F618626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8200" y="57150"/>
          <a:ext cx="2745435" cy="1074965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1200150</xdr:colOff>
      <xdr:row>0</xdr:row>
      <xdr:rowOff>76200</xdr:rowOff>
    </xdr:from>
    <xdr:to>
      <xdr:col>2</xdr:col>
      <xdr:colOff>516585</xdr:colOff>
      <xdr:row>0</xdr:row>
      <xdr:rowOff>1151165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608CB4CF-44FB-45C2-BF3A-1DDB352641D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0150" y="76200"/>
          <a:ext cx="2745435" cy="107496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-thema">
  <a:themeElements>
    <a:clrScheme name="Kantoor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Kantoor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Blad1"/>
  <dimension ref="A8:N36"/>
  <sheetViews>
    <sheetView tabSelected="1" zoomScale="85" zoomScaleNormal="85" workbookViewId="0">
      <selection activeCell="C6" sqref="C6"/>
    </sheetView>
  </sheetViews>
  <sheetFormatPr defaultRowHeight="14.25" x14ac:dyDescent="0.2"/>
  <cols>
    <col min="1" max="1" width="4.85546875" style="2" customWidth="1"/>
    <col min="2" max="2" width="30" style="2" customWidth="1"/>
    <col min="3" max="3" width="5.85546875" style="2" customWidth="1"/>
    <col min="4" max="4" width="26.28515625" style="2" bestFit="1" customWidth="1"/>
    <col min="5" max="5" width="5.42578125" style="2" customWidth="1"/>
    <col min="6" max="6" width="21.85546875" style="2" customWidth="1"/>
    <col min="7" max="7" width="3.7109375" style="2" customWidth="1"/>
    <col min="8" max="8" width="23.42578125" style="2" customWidth="1"/>
    <col min="9" max="9" width="3.140625" style="2" customWidth="1"/>
    <col min="10" max="10" width="19.42578125" style="2" customWidth="1"/>
    <col min="11" max="11" width="8.5703125" style="2" customWidth="1"/>
    <col min="12" max="12" width="21.28515625" style="2" customWidth="1"/>
    <col min="13" max="13" width="7.85546875" style="2" customWidth="1"/>
    <col min="14" max="14" width="5.28515625" style="2" customWidth="1"/>
    <col min="15" max="15" width="15.42578125" style="2" customWidth="1"/>
    <col min="16" max="16" width="10.42578125" style="2" bestFit="1" customWidth="1"/>
    <col min="17" max="16384" width="9.140625" style="2"/>
  </cols>
  <sheetData>
    <row r="8" spans="1:14" ht="15" customHeight="1" x14ac:dyDescent="0.2">
      <c r="A8" s="60" t="s">
        <v>10</v>
      </c>
      <c r="B8" s="61"/>
      <c r="C8" s="62"/>
      <c r="D8" s="54"/>
      <c r="E8" s="55"/>
      <c r="F8" s="55"/>
      <c r="G8" s="55"/>
      <c r="H8" s="56"/>
      <c r="J8" s="10"/>
      <c r="N8" s="6"/>
    </row>
    <row r="9" spans="1:14" ht="15" customHeight="1" x14ac:dyDescent="0.2">
      <c r="A9" s="63"/>
      <c r="B9" s="64"/>
      <c r="C9" s="65"/>
      <c r="D9" s="57"/>
      <c r="E9" s="58"/>
      <c r="F9" s="58"/>
      <c r="G9" s="58"/>
      <c r="H9" s="59"/>
      <c r="J9" s="10"/>
    </row>
    <row r="10" spans="1:14" ht="15" customHeight="1" x14ac:dyDescent="0.2">
      <c r="A10" s="63"/>
      <c r="B10" s="64"/>
      <c r="C10" s="65"/>
      <c r="D10" s="57"/>
      <c r="E10" s="58"/>
      <c r="F10" s="58"/>
      <c r="G10" s="58"/>
      <c r="H10" s="59"/>
      <c r="J10" s="10"/>
    </row>
    <row r="11" spans="1:14" ht="15" customHeight="1" x14ac:dyDescent="0.2">
      <c r="A11" s="66"/>
      <c r="B11" s="67"/>
      <c r="C11" s="68"/>
      <c r="D11" s="57"/>
      <c r="E11" s="58"/>
      <c r="F11" s="58"/>
      <c r="G11" s="58"/>
      <c r="H11" s="59"/>
      <c r="J11" s="10"/>
    </row>
    <row r="12" spans="1:14" ht="15" customHeight="1" x14ac:dyDescent="0.2">
      <c r="A12" s="52" t="s">
        <v>11</v>
      </c>
      <c r="B12" s="53"/>
      <c r="C12" s="53"/>
      <c r="D12" s="44"/>
      <c r="E12" s="46"/>
      <c r="F12" s="46"/>
      <c r="G12" s="46"/>
      <c r="H12" s="47"/>
      <c r="J12" s="10"/>
    </row>
    <row r="13" spans="1:14" ht="15" customHeight="1" x14ac:dyDescent="0.2">
      <c r="A13" s="48" t="s">
        <v>13</v>
      </c>
      <c r="B13" s="49"/>
      <c r="C13" s="50"/>
      <c r="D13" s="44"/>
      <c r="E13" s="46"/>
      <c r="F13" s="46"/>
      <c r="G13" s="46"/>
      <c r="H13" s="47"/>
      <c r="J13" s="10"/>
    </row>
    <row r="14" spans="1:14" ht="15" customHeight="1" x14ac:dyDescent="0.2">
      <c r="A14" s="48" t="s">
        <v>14</v>
      </c>
      <c r="B14" s="49"/>
      <c r="C14" s="50"/>
      <c r="D14" s="44"/>
      <c r="E14" s="46"/>
      <c r="F14" s="46"/>
      <c r="G14" s="46"/>
      <c r="H14" s="47"/>
      <c r="J14" s="10"/>
    </row>
    <row r="15" spans="1:14" ht="15" customHeight="1" x14ac:dyDescent="0.2">
      <c r="A15" s="48" t="s">
        <v>12</v>
      </c>
      <c r="B15" s="49"/>
      <c r="C15" s="50"/>
      <c r="D15" s="44"/>
      <c r="E15" s="46"/>
      <c r="F15" s="46"/>
      <c r="G15" s="46"/>
      <c r="H15" s="47"/>
      <c r="J15" s="10"/>
    </row>
    <row r="16" spans="1:14" ht="15" customHeight="1" x14ac:dyDescent="0.2">
      <c r="A16" s="41"/>
      <c r="B16" s="42"/>
      <c r="C16" s="42"/>
      <c r="D16" s="44"/>
      <c r="E16" s="46"/>
      <c r="F16" s="46"/>
      <c r="G16" s="46"/>
      <c r="H16" s="47"/>
      <c r="J16" s="87"/>
    </row>
    <row r="17" spans="1:14" ht="15" customHeight="1" x14ac:dyDescent="0.2">
      <c r="A17" s="51" t="s">
        <v>15</v>
      </c>
      <c r="B17" s="45"/>
      <c r="C17" s="45"/>
      <c r="D17" s="86">
        <v>44273</v>
      </c>
      <c r="E17" s="46"/>
      <c r="F17" s="46"/>
      <c r="G17" s="46"/>
      <c r="H17" s="47"/>
      <c r="I17" s="1"/>
      <c r="J17" s="11"/>
      <c r="K17" s="1"/>
      <c r="L17" s="1"/>
      <c r="M17" s="1"/>
      <c r="N17" s="1"/>
    </row>
    <row r="18" spans="1:14" ht="3" customHeight="1" x14ac:dyDescent="0.2">
      <c r="A18" s="44"/>
      <c r="B18" s="46"/>
      <c r="C18" s="46"/>
      <c r="D18" s="46"/>
      <c r="E18" s="46"/>
      <c r="F18" s="46"/>
      <c r="G18" s="46"/>
      <c r="H18" s="47"/>
      <c r="I18" s="8"/>
      <c r="J18" s="8"/>
      <c r="K18" s="8"/>
      <c r="L18" s="8"/>
      <c r="M18" s="8"/>
      <c r="N18" s="8"/>
    </row>
    <row r="19" spans="1:14" x14ac:dyDescent="0.2">
      <c r="I19" s="1"/>
      <c r="J19" s="1"/>
      <c r="K19" s="1"/>
      <c r="L19" s="1"/>
      <c r="M19" s="1"/>
      <c r="N19" s="1"/>
    </row>
    <row r="20" spans="1:14" x14ac:dyDescent="0.2">
      <c r="I20" s="1"/>
      <c r="J20" s="1"/>
      <c r="K20" s="1"/>
      <c r="L20" s="1"/>
      <c r="M20" s="1"/>
      <c r="N20" s="1"/>
    </row>
    <row r="22" spans="1:14" ht="14.25" customHeight="1" x14ac:dyDescent="0.2">
      <c r="B22" s="70" t="s">
        <v>62</v>
      </c>
      <c r="C22" s="76"/>
      <c r="D22" s="70" t="s">
        <v>63</v>
      </c>
      <c r="E22" s="77"/>
      <c r="F22" s="70" t="s">
        <v>137</v>
      </c>
      <c r="G22" s="77"/>
      <c r="H22" s="72" t="s">
        <v>64</v>
      </c>
      <c r="I22" s="73"/>
    </row>
    <row r="23" spans="1:14" ht="14.25" customHeight="1" x14ac:dyDescent="0.2">
      <c r="B23" s="71"/>
      <c r="C23" s="76"/>
      <c r="D23" s="71"/>
      <c r="E23" s="77"/>
      <c r="F23" s="71"/>
      <c r="G23" s="77"/>
      <c r="H23" s="74"/>
      <c r="I23" s="75"/>
    </row>
    <row r="27" spans="1:14" x14ac:dyDescent="0.2">
      <c r="A27" s="79" t="s">
        <v>50</v>
      </c>
      <c r="B27" s="79"/>
      <c r="C27" s="79"/>
      <c r="D27" s="80"/>
    </row>
    <row r="28" spans="1:14" x14ac:dyDescent="0.2">
      <c r="A28" s="81" t="s">
        <v>51</v>
      </c>
      <c r="B28" s="81"/>
      <c r="C28" s="81"/>
      <c r="D28" s="82" t="s">
        <v>52</v>
      </c>
    </row>
    <row r="29" spans="1:14" x14ac:dyDescent="0.2">
      <c r="A29" s="81" t="s">
        <v>53</v>
      </c>
      <c r="B29" s="81"/>
      <c r="C29" s="81"/>
      <c r="D29" s="82" t="s">
        <v>49</v>
      </c>
    </row>
    <row r="30" spans="1:14" x14ac:dyDescent="0.2">
      <c r="A30" s="81" t="s">
        <v>54</v>
      </c>
      <c r="B30" s="81"/>
      <c r="C30" s="81"/>
      <c r="D30" s="80" t="s">
        <v>55</v>
      </c>
    </row>
    <row r="31" spans="1:14" x14ac:dyDescent="0.2">
      <c r="A31" s="81" t="s">
        <v>56</v>
      </c>
      <c r="B31" s="81"/>
      <c r="C31" s="81"/>
      <c r="D31" s="80" t="s">
        <v>57</v>
      </c>
    </row>
    <row r="32" spans="1:14" x14ac:dyDescent="0.2">
      <c r="A32" s="81" t="s">
        <v>58</v>
      </c>
      <c r="B32" s="81"/>
      <c r="C32" s="81"/>
      <c r="D32" s="80" t="s">
        <v>59</v>
      </c>
    </row>
    <row r="33" spans="1:4" x14ac:dyDescent="0.2">
      <c r="A33" s="81" t="s">
        <v>60</v>
      </c>
      <c r="B33" s="81"/>
      <c r="C33" s="81"/>
      <c r="D33" s="80" t="s">
        <v>61</v>
      </c>
    </row>
    <row r="34" spans="1:4" x14ac:dyDescent="0.2">
      <c r="A34" s="80" t="s">
        <v>62</v>
      </c>
      <c r="B34" s="80"/>
      <c r="C34" s="80"/>
      <c r="D34" s="80" t="s">
        <v>65</v>
      </c>
    </row>
    <row r="35" spans="1:4" x14ac:dyDescent="0.2">
      <c r="A35" s="80" t="s">
        <v>63</v>
      </c>
      <c r="B35" s="80"/>
      <c r="C35" s="80"/>
      <c r="D35" s="80" t="s">
        <v>66</v>
      </c>
    </row>
    <row r="36" spans="1:4" x14ac:dyDescent="0.2">
      <c r="A36" s="80" t="s">
        <v>64</v>
      </c>
      <c r="B36" s="80"/>
      <c r="C36" s="80"/>
      <c r="D36" s="80" t="s">
        <v>67</v>
      </c>
    </row>
  </sheetData>
  <sheetProtection selectLockedCells="1"/>
  <mergeCells count="27">
    <mergeCell ref="D17:H17"/>
    <mergeCell ref="D8:H11"/>
    <mergeCell ref="A18:H18"/>
    <mergeCell ref="A32:C32"/>
    <mergeCell ref="A33:C33"/>
    <mergeCell ref="C22:C23"/>
    <mergeCell ref="D22:D23"/>
    <mergeCell ref="H22:I23"/>
    <mergeCell ref="B22:B23"/>
    <mergeCell ref="F22:F23"/>
    <mergeCell ref="A27:C27"/>
    <mergeCell ref="A28:C28"/>
    <mergeCell ref="A29:C29"/>
    <mergeCell ref="A30:C30"/>
    <mergeCell ref="A31:C31"/>
    <mergeCell ref="A13:C13"/>
    <mergeCell ref="A8:C11"/>
    <mergeCell ref="D12:H12"/>
    <mergeCell ref="D13:H13"/>
    <mergeCell ref="D14:H14"/>
    <mergeCell ref="D15:H15"/>
    <mergeCell ref="D16:H16"/>
    <mergeCell ref="A16:C16"/>
    <mergeCell ref="A14:C14"/>
    <mergeCell ref="A17:C17"/>
    <mergeCell ref="A12:C12"/>
    <mergeCell ref="A15:C15"/>
  </mergeCells>
  <phoneticPr fontId="2" type="noConversion"/>
  <conditionalFormatting sqref="J16">
    <cfRule type="expression" dxfId="1601" priority="2226" stopIfTrue="1">
      <formula>IF(WEEKDAY(#REF!)=7,#REF!+9,IF(WEEKDAY(#REF!)=1,#REF!+8,#REF!+7))</formula>
    </cfRule>
  </conditionalFormatting>
  <printOptions horizontalCentered="1" verticalCentered="1"/>
  <pageMargins left="0.39370078740157483" right="0.35433070866141736" top="0.31496062992125984" bottom="0.43307086614173229" header="0" footer="0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Blad2"/>
  <dimension ref="A1:AB57"/>
  <sheetViews>
    <sheetView topLeftCell="C1" zoomScale="70" zoomScaleNormal="70" workbookViewId="0">
      <selection activeCell="J1" sqref="J1"/>
    </sheetView>
  </sheetViews>
  <sheetFormatPr defaultRowHeight="12.75" x14ac:dyDescent="0.2"/>
  <cols>
    <col min="1" max="1" width="21.7109375" bestFit="1" customWidth="1"/>
    <col min="2" max="2" width="28.7109375" style="19" customWidth="1"/>
    <col min="3" max="3" width="27.42578125" style="19" bestFit="1" customWidth="1"/>
    <col min="4" max="4" width="18.28515625" style="19" bestFit="1" customWidth="1"/>
    <col min="5" max="5" width="18.7109375" style="19" bestFit="1" customWidth="1"/>
    <col min="6" max="7" width="18.7109375" style="19" customWidth="1"/>
    <col min="8" max="8" width="21.7109375" style="19" bestFit="1" customWidth="1"/>
    <col min="9" max="9" width="20.5703125" style="19" bestFit="1" customWidth="1"/>
    <col min="10" max="10" width="13.140625" style="19" bestFit="1" customWidth="1"/>
    <col min="11" max="11" width="14.85546875" style="19" bestFit="1" customWidth="1"/>
    <col min="12" max="12" width="13" style="19" bestFit="1" customWidth="1"/>
    <col min="13" max="13" width="14" style="19" bestFit="1" customWidth="1"/>
    <col min="14" max="14" width="14.85546875" style="19" bestFit="1" customWidth="1"/>
    <col min="15" max="15" width="20.28515625" style="19" bestFit="1" customWidth="1"/>
    <col min="16" max="16" width="16.42578125" style="19" bestFit="1" customWidth="1"/>
    <col min="17" max="17" width="22.42578125" style="19" bestFit="1" customWidth="1"/>
    <col min="18" max="18" width="8.42578125" bestFit="1" customWidth="1"/>
    <col min="21" max="21" width="12.85546875" bestFit="1" customWidth="1"/>
    <col min="22" max="24" width="8.5703125" bestFit="1" customWidth="1"/>
    <col min="25" max="25" width="28.85546875" customWidth="1"/>
  </cols>
  <sheetData>
    <row r="1" spans="1:28" ht="67.5" customHeight="1" x14ac:dyDescent="0.2"/>
    <row r="5" spans="1:28" s="2" customFormat="1" ht="15" x14ac:dyDescent="0.2">
      <c r="A5" s="5" t="s">
        <v>0</v>
      </c>
      <c r="B5" s="5" t="s">
        <v>1</v>
      </c>
      <c r="C5" s="5" t="s">
        <v>5</v>
      </c>
      <c r="D5" s="5" t="s">
        <v>2</v>
      </c>
      <c r="E5" s="5" t="s">
        <v>3</v>
      </c>
      <c r="F5" s="5" t="s">
        <v>4</v>
      </c>
      <c r="G5" s="5" t="s">
        <v>7</v>
      </c>
      <c r="H5" s="5" t="s">
        <v>17</v>
      </c>
      <c r="I5" s="5" t="s">
        <v>16</v>
      </c>
      <c r="J5" s="5" t="s">
        <v>24</v>
      </c>
      <c r="K5" s="5" t="s">
        <v>25</v>
      </c>
      <c r="L5" s="5" t="s">
        <v>26</v>
      </c>
      <c r="M5" s="5" t="s">
        <v>27</v>
      </c>
      <c r="N5" s="15" t="s">
        <v>28</v>
      </c>
      <c r="O5" s="15" t="s">
        <v>29</v>
      </c>
      <c r="P5" s="15" t="s">
        <v>30</v>
      </c>
      <c r="Q5" s="15" t="s">
        <v>31</v>
      </c>
      <c r="R5" s="5" t="s">
        <v>44</v>
      </c>
      <c r="S5" s="16" t="s">
        <v>34</v>
      </c>
      <c r="T5" s="5" t="s">
        <v>45</v>
      </c>
      <c r="U5" s="23" t="s">
        <v>47</v>
      </c>
      <c r="V5" s="43" t="s">
        <v>8</v>
      </c>
      <c r="W5" s="43"/>
      <c r="X5" s="43"/>
      <c r="Y5" s="12" t="s">
        <v>9</v>
      </c>
      <c r="Z5" s="9"/>
      <c r="AB5" s="11"/>
    </row>
    <row r="6" spans="1:28" s="1" customFormat="1" ht="15" x14ac:dyDescent="0.2">
      <c r="A6" s="5"/>
      <c r="B6" s="5"/>
      <c r="C6" s="5" t="s">
        <v>6</v>
      </c>
      <c r="D6" s="5"/>
      <c r="E6" s="5"/>
      <c r="F6" s="5"/>
      <c r="G6" s="5"/>
      <c r="H6" s="5"/>
      <c r="I6" s="5"/>
      <c r="J6" s="5"/>
      <c r="K6" s="5"/>
      <c r="L6" s="5"/>
      <c r="M6" s="5"/>
      <c r="N6" s="15"/>
      <c r="O6" s="15"/>
      <c r="P6" s="15"/>
      <c r="Q6" s="15"/>
      <c r="R6" s="5"/>
      <c r="S6" s="16"/>
      <c r="T6" s="5"/>
      <c r="U6" s="23"/>
      <c r="V6" s="5">
        <v>1</v>
      </c>
      <c r="W6" s="5">
        <v>2</v>
      </c>
      <c r="X6" s="5">
        <v>3</v>
      </c>
      <c r="Y6" s="7"/>
      <c r="Z6" s="10"/>
      <c r="AB6" s="10"/>
    </row>
    <row r="7" spans="1:28" s="1" customFormat="1" ht="21.75" customHeight="1" x14ac:dyDescent="0.2">
      <c r="A7" s="84"/>
      <c r="B7" s="21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2"/>
      <c r="Z7" s="9"/>
    </row>
    <row r="8" spans="1:28" s="2" customFormat="1" ht="17.100000000000001" customHeight="1" x14ac:dyDescent="0.2">
      <c r="A8" s="24"/>
      <c r="C8" s="24"/>
      <c r="D8" s="20" t="str">
        <f>IF(OR($B8={"RH Recht kanaal","RH Sprong","RH Aftakking","RH Vierkant-Rond","RH-S Bocht 2x","RH-S Bocht en verloop","RH-S Bocht + vierkant-rond","RH Deksel","RH Afgesch. Kanaal","RH Plenum","RH VP Raam","RH Vlakke Plaat","RH Flexibel"}),"Breedte",IF(OR($B8={"RH T-Stuk","RH Bocht","RH Verloop"}),"Breedte Onder",IF(OR($B8={""}),"")))</f>
        <v/>
      </c>
      <c r="E8" s="20" t="str">
        <f>IF(OR($B8={"RH Recht kanaal","RH T-Stuk","RH Bocht","RH Sprong","RH Aftakking","RH Vierkant-Rond","RH-S Bocht 2x","RH-S Bocht en verloop","RH-S Bocht + vierkant-rond","RH Deksel","RH Afgesch. Kanaal","RH Plenum","RH VP Raam","RH Vlakke Plaat","RH Flexibel"}),"Diepte",IF(OR($B8={"RH Verloop"}),"Diepte Onder",IF(OR($B8={""}),"")))</f>
        <v/>
      </c>
      <c r="F8" s="25"/>
      <c r="G8" s="25"/>
      <c r="H8" s="25"/>
      <c r="I8" s="25"/>
      <c r="K8" s="25"/>
      <c r="L8" s="25"/>
      <c r="M8" s="24" t="str">
        <f>IF(OR($B8={"RH T-stuk","RH-S Bocht 2x"}),"Radius Rechts",IF(OR($B8={"RH-S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8" s="24" t="str">
        <f>IF(OR($B8={"RH T-stuk","RH Sprong"}),"Extension Links",IF(OR($B8={"RH Aftakking","RH Bocht","RH-S Bocht + vierkant-rond"}),"Extensie Boven",IF(OR($B8={"RH-S Bocht en Verloop"}),"Extensie Onder",IF(OR($B8={"RH-S Bocht en Verloop","RH Recht kanaal","RH-S Bocht 2x","RH Verloop","RH T-Stuk","RH Sprong","RH Aftakking","RH Vierkant-Rond","RH Deksel","RH Afgesch. Kanaal","RH Plenum","RH VP Raam","RH Vlakke Plaat","RH Flexibel",""}),""))))</f>
        <v/>
      </c>
      <c r="O8" s="25"/>
      <c r="P8" s="25"/>
      <c r="Q8" s="25"/>
      <c r="R8" s="25"/>
      <c r="S8" s="25"/>
      <c r="T8" s="26"/>
      <c r="U8" s="26"/>
      <c r="V8" s="24" t="str">
        <f>IF(AND(OR($B8={"F","V"}),$L8=0),"T",IF(OR($B8={"R","S","W","Q","V","F","P","J"}),"W",""))</f>
        <v/>
      </c>
      <c r="W8" s="24" t="str">
        <f>IF(AND($B8="V",$M8=0),"T",IF(OR($B8={"R","S","W","Q","V","P","J"}),"W",IF($B8="F","P","")))</f>
        <v/>
      </c>
      <c r="X8" s="24" t="str">
        <f>IF($B8="J","W","")</f>
        <v/>
      </c>
      <c r="Y8" s="27" t="str">
        <f>IF(AND($B8="J",H8&lt;&gt;""),"Schets","")</f>
        <v/>
      </c>
      <c r="Z8" s="28" t="str">
        <f>IF(A8="","",1)</f>
        <v/>
      </c>
      <c r="AB8" s="1"/>
    </row>
    <row r="9" spans="1:28" s="2" customFormat="1" ht="17.100000000000001" customHeight="1" x14ac:dyDescent="0.2">
      <c r="A9" s="24">
        <v>1</v>
      </c>
      <c r="B9" s="38" t="s">
        <v>39</v>
      </c>
      <c r="C9" s="36">
        <f>IF(AND(A9&gt;0,A9&lt;&gt;""),1,"")</f>
        <v>1</v>
      </c>
      <c r="D9" s="35" t="str">
        <f>IF(OR($B9={"RH Recht kanaal","RH Sprong","RH Aftakking","RH Vierkant-Rond","RH-S Bocht 2x","RH-S Bocht en verloop","RH-S Bocht + vierkant-rond","RH Deksel","RH Afgesch. Kanaal","RH Plenum","RH VP Raam","RH Vlakke Plaat","RH Flexibel"}),"Breedte",IF(OR($B9={"RH T-Stuk","RH Bocht","RH Verloop"}),"Breedte Onder",IF(OR($B9={""}),"")))</f>
        <v>Breedte</v>
      </c>
      <c r="E9" s="35" t="str">
        <f>IF(OR($B9={"RH Recht kanaal","RH T-Stuk","RH Bocht","RH Sprong","RH Aftakking","RH Vierkant-Rond","RH-S Bocht 2x","RH-S Bocht en verloop","RH-S Bocht + vierkant-rond","RH Deksel","RH Afgesch. Kanaal","RH Plenum","RH VP Raam","RH Vlakke Plaat","RH Flexibel"}),"Diepte",IF(OR($B9={"RH Verloop"}),"Diepte Onder",IF(OR($B9={""}),"")))</f>
        <v>Diepte</v>
      </c>
      <c r="F9" s="20" t="str">
        <f>IF(OR($B9={"RH T-Stuk"}),"Breedte Links",IF(OR($B9={"RH Bocht";"RH Verloop"}),"Breedte Boven",IF(OR($B9={"RH-S Bocht 2x"}),"Breedte Linksonder",IF(OR($B9={"RH Afgesch. Kanaal"}),"Breedte schuine zijde",IF(OR($B9={"RH-S Bocht en Verloop","RH-S Bocht + vierkant-rond"}),"Breedte Bocht onder",IF(OR($B9={"RH Recht kanaal","RH Sprong","RH Aftakking","RH Vierkant-Rond","RH-S Bocht 2x","RH-S Bocht en Verloop","RH-S Bocht + Vierkant-rond","RH Deksel","RH Plenum","RH VP Raam","RH Vlakke Plaat","RH Flexibel",""}),""))))))</f>
        <v/>
      </c>
      <c r="G9" s="20" t="str">
        <f>IF(OR($B9={"RH T-Stuk"}),"Breedte Rechts",IF(OR($B9={"RH Verloop"}),"Diepte Boven",IF(OR($B9={"RH-S Bocht 2x"}),"Breedte Linksboven",IF(OR($B9={"RH-S Bocht en Verloop","RH-S Bocht + vierkant-rond"}),"Breedte Bocht Boven",IF(OR($B9={"RH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9" s="20" t="str">
        <f>IF(OR($B9={"RH-S Bocht 2x"}),"Breedte Rechtsboven",IF(OR($B9={"RH-S Bocht en Verloop"}),"Verloop Breedte Boven",IF(OR($B9={"RH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9" s="20" t="str">
        <f>IF(OR($B9={"RH-S Bocht en Verloop"}),"Verloop Diepte Boven",IF(OR($B9={"RH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9" s="20" t="str">
        <f>IF(OR($B9={"RH Bocht","RH Verloop","RH-S Bocht en Verloop","RH=S Bocht + Vierkant-rond","RH Sprong","RH Afgesch. Kanaal"}),"Graden",IF(OR($B9={"RH-S Bocht + vierkant-rond"}),"Graden Bocht",IF(OR($B9={"RH-S Bocht 2x"}),"Graden Links",IF(OR($B9={"RH Recht kanaal","RH Bocht","RH Verloop","RH T-Stuk","RH Sprong","RH Aftakking","RH Vierkant-Rond","RH Deksel","RH Afgesch. Kanaal","RH Plenum","RH VP Raam","RH Vlakke Plaat","RH Flexibel",""}),""))))</f>
        <v/>
      </c>
      <c r="K9" s="20" t="str">
        <f>IF(OR($B9={"RH-S Bocht + vierkant-rond"}),"Graden Verloop",IF(OR($B9={"RH-S Bocht 2x"}),"Graden Rechts",IF(OR($B9={"RH Recht kanaal","RH Bocht","RH Verloop","RH T-Stuk","RH Sprong","RH-S Bocht en Verloop","RH Aftakking","RH Vierkant-Rond","RH Deksel","RH Afgesch. Kanaal","RH Plenum","RH VP Raam","RH Vlakke Plaat","RH Flexibel",""}),"")))</f>
        <v/>
      </c>
      <c r="L9" s="20" t="str">
        <f>IF(OR($B9={"RH Bocht"}),"Radius",IF(OR($B9={"RH T-stuk","RH-S Bocht 2x"}),"Radius Links",IF(OR($B9={"RH-S Bocht en verloop","RH-S Bocht + Vierkant-Rond"}),"Radius Bocht",IF(OR($B9={"RH Recht kanaal","RH Bocht","RH Verloop","RH T-Stuk","RH Sprong","RH Aftakking","RH Vierkant-Rond","RH Deksel","RH Afgesch. Kanaal","RH Plenum","RH VP Raam","RH Vlakke Plaat","RH Flexibel",""}),""))))</f>
        <v/>
      </c>
      <c r="M9" s="20" t="str">
        <f>IF(OR($B9={"RH T-stuk","RH-S Bocht 2x"}),"Radius Rechts",IF(OR($B9={"RH-S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9" s="20" t="str">
        <f>IF(OR($B9={"RH T-stuk","RH Sprong"}),"Extension Links",IF(OR($B9={"RH Aftakking","RH Bocht","RH-S Bocht + vierkant-rond"}),"Extensie Boven",IF(OR($B9={"RH-S Bocht en Verloop"}),"Extensie Onder",IF(OR($B9={"RH-S Bocht en Verloop","RH Recht kanaal","RH-S Bocht 2x","RH Verloop","RH T-Stuk","RH Sprong","RH Aftakking","RH Vierkant-Rond","RH Deksel","RH Afgesch. Kanaal","RH Plenum","RH VP Raam","RH Vlakke Plaat","RH Flexibel",""}),""))))</f>
        <v/>
      </c>
      <c r="O9" s="20" t="str">
        <f>IF(OR($B9={"RH T-stuk"}),"Extension onder Links",IF(OR($B9={"RH Verloop","RH-S Bocht en verloop","RH-S Bocht + vierkant-rond"}),"Offset Breedte",IF(OR($B9={"RH-S Bocht en Verloop"}),"Extensie Onder",IF(OR($B9={"RH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9" s="20" t="str">
        <f>IF(OR($B9={"RH T-stuk","RH Sprong"}),"Extension Rechts",IF(OR($B9={"RH Bocht","RH-S Bocht + vierkant-rond"}),"Extensie Onder",IF(OR($B9={"RH-S Bocht en Verloop"}),"Extensie Bocht",IF(OR($B9={"RH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9" s="20" t="str">
        <f>IF(OR($B9={"RH T-stuk"}),"Extension Onder Rechts",IF(OR($B9={"RH Verloop","RH-S Bocht en verloop","RH-S Bocht + vierkant-rond"}),"Offset Diepte",IF(OR($B9={"RH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9" s="34">
        <f>IF(AND($B9="RH Recht kanaal",$V9="TDC25",$W9="TDC25"),1410, IF(OR(AND($B9="R",$V9="W",$W9&lt;&gt;"W"),AND($B9="R",$V9&lt;&gt;"W",$W9="W")),1456,IF(AND($B9="R",$V9&lt;&gt;"W",$W9&lt;&gt;"W"),1500,IF(OR($B9={"S","V","P"}),"L1",IF($B9="J",50,IF($B9="F",330,""))))))</f>
        <v>1410</v>
      </c>
      <c r="S9" s="34">
        <f>IF(AND($B9="RH Recht kanaal",$V9="TDC25",$W9="TDC25"),1160, IF(OR(AND($B9="R",$V9="W",$W9&lt;&gt;"W"),AND($B9="R",$V9&lt;&gt;"W",$W9="W")),1456,IF(AND($B9="R",$V9&lt;&gt;"W",$W9&lt;&gt;"W"),1500,IF(OR($B9={"S","V","P"}),"L1",IF($B9="J",50,IF($B9="F",330,""))))))</f>
        <v>1160</v>
      </c>
      <c r="T9" s="34">
        <f>IF(AND($B9="RH Recht kanaal",$V9="TDC25",$W9="TDC25"),910, IF(OR(AND($B9="R",$V9="W",$W9&lt;&gt;"W"),AND($B9="R",$V9&lt;&gt;"W",$W9="W")),1456,IF(AND($B9="R",$V9&lt;&gt;"W",$W9&lt;&gt;"W"),1500,IF(OR($B9={"S","V","P"}),"L1",IF($B9="J",50,IF($B9="F",330,""))))))</f>
        <v>910</v>
      </c>
      <c r="U9" s="34" t="s">
        <v>48</v>
      </c>
      <c r="V9" s="34" t="s">
        <v>43</v>
      </c>
      <c r="W9" s="34" t="s">
        <v>43</v>
      </c>
      <c r="X9" s="3" t="str">
        <f>IF($B9="J","W","")</f>
        <v/>
      </c>
      <c r="Y9" s="4" t="str">
        <f>IF(AND($B9="J",H9&lt;&gt;""),"Schets","")</f>
        <v/>
      </c>
      <c r="Z9" s="11">
        <f>IF(A9="","",1)</f>
        <v>1</v>
      </c>
      <c r="AB9" s="1"/>
    </row>
    <row r="10" spans="1:28" s="2" customFormat="1" ht="17.100000000000001" customHeight="1" x14ac:dyDescent="0.2">
      <c r="A10" s="24">
        <f>IF(AND($A9&lt;&gt;"",$B9&lt;&gt;""),$A9+1,"")</f>
        <v>2</v>
      </c>
      <c r="B10" s="38" t="s">
        <v>19</v>
      </c>
      <c r="C10" s="36">
        <f>IF(AND(A10&gt;0,A10&lt;&gt;""),1,"")</f>
        <v>1</v>
      </c>
      <c r="D10" s="35" t="str">
        <f>IF(OR($B10={"RH Recht kanaal","RH Sprong","RH Aftakking","RH Vierkant-Rond","RH-S Bocht 2x","RH-S Bocht en verloop","RH-S Bocht + vierkant-rond","RH Deksel","RH Afgesch. Kanaal","RH Plenum","RH VP Raam","RH Vlakke Plaat","RH Flexibel"}),"Breedte",IF(OR($B10={"RH T-Stuk","RH Bocht","RH Verloop"}),"Breedte Onder",IF(OR($B10={""}),"")))</f>
        <v>Breedte Onder</v>
      </c>
      <c r="E10" s="35" t="str">
        <f>IF(OR($B10={"RH Recht kanaal","RH T-Stuk","RH Bocht","RH Sprong","RH Aftakking","RH Vierkant-Rond","RH-S Bocht 2x","RH-S Bocht en verloop","RH-S Bocht + vierkant-rond","RH Deksel","RH Afgesch. Kanaal","RH Plenum","RH VP Raam","RH Vlakke Plaat","RH Flexibel"}),"Diepte",IF(OR($B10={"RH Verloop"}),"Diepte Onder",IF(OR($B10={""}),"")))</f>
        <v>Diepte</v>
      </c>
      <c r="F10" s="35" t="str">
        <f>IF(OR($B10={"RH T-Stuk"}),"Breedte Links",IF(OR($B10={"RH Bocht";"RH Verloop"}),"Breedte Boven",IF(OR($B10={"RH-S Bocht 2x"}),"Breedte Linksonder",IF(OR($B10={"RH Afgesch. Kanaal"}),"Breedte schuine zijde",IF(OR($B10={"RH-S Bocht en Verloop","RH-S Bocht + vierkant-rond"}),"Breedte Bocht onder",IF(OR($B10={"RH Recht kanaal","RH Sprong","RH Aftakking","RH Vierkant-Rond","RH-S Bocht 2x","RH-S Bocht en Verloop","RH-S Bocht + Vierkant-rond","RH Deksel","RH Plenum","RH VP Raam","RH Vlakke Plaat","RH Flexibel",""}),""))))))</f>
        <v>Breedte Links</v>
      </c>
      <c r="G10" s="35" t="str">
        <f>IF(OR($B10={"RH T-Stuk"}),"Breedte Rechts",IF(OR($B10={"RH Verloop"}),"Diepte Boven",IF(OR($B10={"RH-S Bocht 2x"}),"Breedte Linksboven",IF(OR($B10={"RH-S Bocht en Verloop","RH-S Bocht + vierkant-rond"}),"Breedte Bocht Boven",IF(OR($B10={"RH Recht kanaal","RH Bocht","RH Sprong","RH Aftakking","RH Vierkant-Rond","RH-S Bocht 2x","RH-S Bocht en Verloop","RH-S Bocht + Vierkant-rond","RH Deksel","RH Afgesch. Kanaal","RH Plenum","RH VP Raam","RH Vlakke Plaat","RH Flexibel",""}),"")))))</f>
        <v>Breedte Rechts</v>
      </c>
      <c r="H10" s="20" t="str">
        <f>IF(OR($B10={"RH-S Bocht 2x"}),"Breedte Rechtsboven",IF(OR($B10={"RH-S Bocht en Verloop"}),"Verloop Breedte Boven",IF(OR($B10={"RH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0" s="20" t="str">
        <f>IF(OR($B10={"RH-S Bocht en Verloop"}),"Verloop Diepte Boven",IF(OR($B10={"RH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0" s="20" t="str">
        <f>IF(OR($B10={"RH Bocht","RH Verloop","RH-S Bocht en Verloop","RH=S Bocht + Vierkant-rond","RH Sprong","RH Afgesch. Kanaal"}),"Graden",IF(OR($B10={"RH-S Bocht + vierkant-rond"}),"Graden Bocht",IF(OR($B10={"RH-S Bocht 2x"}),"Graden Links",IF(OR($B10={"RH Recht kanaal","RH Bocht","RH Verloop","RH T-Stuk","RH Sprong","RH Aftakking","RH Vierkant-Rond","RH Deksel","RH Afgesch. Kanaal","RH Plenum","RH VP Raam","RH Vlakke Plaat","RH Flexibel",""}),""))))</f>
        <v/>
      </c>
      <c r="K10" s="20" t="str">
        <f>IF(OR($B10={"RH-S Bocht + vierkant-rond"}),"Graden Verloop",IF(OR($B10={"RH-S Bocht 2x"}),"Graden Rechts",IF(OR($B10={"RH Recht kanaal","RH Bocht","RH Verloop","RH T-Stuk","RH Sprong","RH-S Bocht en Verloop","RH Aftakking","RH Vierkant-Rond","RH Deksel","RH Afgesch. Kanaal","RH Plenum","RH VP Raam","RH Vlakke Plaat","RH Flexibel",""}),"")))</f>
        <v/>
      </c>
      <c r="L10" s="35" t="str">
        <f>IF(OR($B10={"RH Bocht"}),"Radius",IF(OR($B10={"RH T-stuk","RH-S Bocht 2x"}),"Radius Links",IF(OR($B10={"RH-S Bocht en verloop","RH-S Bocht + Vierkant-Rond"}),"Radius Bocht",IF(OR($B10={"RH Recht kanaal","RH Bocht","RH Verloop","RH T-Stuk","RH Sprong","RH Aftakking","RH Vierkant-Rond","RH Deksel","RH Afgesch. Kanaal","RH Plenum","RH VP Raam","RH Vlakke Plaat","RH Flexibel",""}),""))))</f>
        <v>Radius Links</v>
      </c>
      <c r="M10" s="35" t="str">
        <f>IF(OR($B10={"RH T-stuk","RH-S Bocht 2x"}),"Radius Rechts",IF(OR($B10={"RH-S Bocht + Vierkant-rond","RH-S Bocht en Verloop","RH Recht kanaal","RH Bocht","RH Verloop","RH T-Stuk","RH Sprong","RH Aftakking","RH Vierkant-Rond","RH Deksel","RH Afgesch. Kanaal","RH Plenum","RH VP Raam","RH Vlakke Plaat","RH Flexibel",""}),""))</f>
        <v>Radius Rechts</v>
      </c>
      <c r="N10" s="35" t="str">
        <f>IF(OR($B10={"RH T-stuk","RH Sprong"}),"Extensie Links",IF(OR($B10={"RH Aftakking","RH Bocht","RH-S Bocht + vierkant-rond"}),"Extensie Boven",IF(OR($B10={"RH-S Bocht en Verloop"}),"Extensie Onder",IF(OR($B10={"RH-S Bocht en Verloop","RH Recht kanaal","RH-S Bocht 2x","RH Verloop","RH T-Stuk","RH Sprong","RH Aftakking","RH Vierkant-Rond","RH Deksel","RH Afgesch. Kanaal","RH Plenum","RH VP Raam","RH Vlakke Plaat","RH Flexibel",""}),""))))</f>
        <v>Extensie Links</v>
      </c>
      <c r="O10" s="35" t="str">
        <f>IF(OR($B10={"RH T-stuk"}),"Extensie onder Links",IF(OR($B10={"RH Verloop","RH-S Bocht en verloop","RH-S Bocht + vierkant-rond"}),"Offset Breedte",IF(OR($B10={"RH-S Bocht en Verloop"}),"Extensie Onder",IF(OR($B10={"RH Bocht","RH-S Bocht en Verloop","RH Recht kanaal","RH-S Bocht 2x","RH Verloop","RH T-Stuk","RH Sprong","RH Aftakking","RH Vierkant-Rond","RH Deksel","RH Afgesch. Kanaal","RH Plenum","RH VP Raam","RH Vlakke Plaat","RH Flexibel",""}),""))))</f>
        <v>Extensie onder Links</v>
      </c>
      <c r="P10" s="35" t="str">
        <f>IF(OR($B10={"RH T-stuk","RH Sprong"}),"Extension Rechts",IF(OR($B10={"RH Bocht","RH-S Bocht + vierkant-rond"}),"Extensie Onder",IF(OR($B10={"RH-S Bocht en Verloop"}),"Extensie Bocht",IF(OR($B10={"RH Bocht","RH-S Bocht en Verloop","RH Recht kanaal","RH-S Bocht 2x","RH Verloop","RH T-Stuk","RH Sprong","RH Aftakking","RH Vierkant-Rond","RH Deksel","RH Afgesch. Kanaal","RH Plenum","RH VP Raam","RH Vlakke Plaat","RH Flexibel",""}),""))))</f>
        <v>Extension Rechts</v>
      </c>
      <c r="Q10" s="35" t="str">
        <f>IF(OR($B10={"RH T-stuk"}),"Extension Onder Rechts",IF(OR($B10={"RH Verloop","RH-S Bocht en verloop","RH-S Bocht + vierkant-rond"}),"Offset Diepte",IF(OR($B10={"RH Bocht","RH-S Bocht en Verloop","RH Recht kanaal","RH-S Bocht 2x","RH Verloop","RH T-Stuk","RH Sprong","RH Aftakking","RH Vierkant-Rond","RH Deksel","RH Afgesch. Kanaal","RH Plenum","RH VP Raam","RH Vlakke Plaat","RH Flexibel",""}),"")))</f>
        <v>Extension Onder Rechts</v>
      </c>
      <c r="R10" s="13"/>
      <c r="S10" s="13"/>
      <c r="T10" s="14"/>
      <c r="U10" s="14"/>
      <c r="V10" s="34" t="s">
        <v>43</v>
      </c>
      <c r="W10" s="34" t="s">
        <v>43</v>
      </c>
      <c r="X10" s="34" t="s">
        <v>43</v>
      </c>
      <c r="Y10" s="4" t="str">
        <f>IF(AND($B10="J",H10&lt;&gt;""),"Schets","")</f>
        <v/>
      </c>
      <c r="Z10" s="11">
        <f>IF(A10="","",1)</f>
        <v>1</v>
      </c>
      <c r="AB10" s="1"/>
    </row>
    <row r="11" spans="1:28" s="2" customFormat="1" ht="17.100000000000001" customHeight="1" x14ac:dyDescent="0.2">
      <c r="A11" s="24">
        <f>IF(AND($A10&lt;&gt;"",$B10&lt;&gt;""),$A10+1,"")</f>
        <v>3</v>
      </c>
      <c r="B11" s="38" t="s">
        <v>18</v>
      </c>
      <c r="C11" s="36">
        <f>IF(AND(A11&gt;0,A11&lt;&gt;""),1,"")</f>
        <v>1</v>
      </c>
      <c r="D11" s="35" t="str">
        <f>IF(OR($B11={"RH Recht kanaal","RH Sprong","RH Aftakking","RH Vierkant-Rond","RH-S Bocht 2x","RH-S Bocht en verloop","RH-S Bocht + vierkant-rond","RH Deksel","RH Afgesch. Kanaal","RH Plenum","RH VP Raam","RH Vlakke Plaat","RH Flexibel"}),"Breedte",IF(OR($B11={"RH T-Stuk","RH Bocht","RH Verloop"}),"Breedte Onder",IF(OR($B11={""}),"")))</f>
        <v>Breedte Onder</v>
      </c>
      <c r="E11" s="35" t="str">
        <f>IF(OR($B11={"RH Recht kanaal","RH T-Stuk","RH Bocht","RH Sprong","RH Aftakking","RH Vierkant-Rond","RH-S Bocht 2x","RH-S Bocht en verloop","RH-S Bocht + vierkant-rond","RH Deksel","RH Afgesch. Kanaal","RH Plenum","RH VP Raam","RH Vlakke Plaat","RH Flexibel"}),"Diepte",IF(OR($B11={"RH Verloop"}),"Diepte Onder",IF(OR($B11={""}),"")))</f>
        <v>Diepte</v>
      </c>
      <c r="F11" s="35" t="str">
        <f>IF(OR($B11={"RH T-Stuk"}),"Breedte Links",IF(OR($B11={"RH Bocht";"RH Verloop"}),"Breedte Boven",IF(OR($B11={"RH-S Bocht 2x"}),"Breedte Linksonder",IF(OR($B11={"RH Afgesch. Kanaal"}),"Breedte schuine zijde",IF(OR($B11={"RH-S Bocht en Verloop","RH-S Bocht + vierkant-rond"}),"Breedte Bocht onder",IF(OR($B11={"RH Recht kanaal","RH Sprong","RH Aftakking","RH Vierkant-Rond","RH-S Bocht 2x","RH-S Bocht en Verloop","RH-S Bocht + Vierkant-rond","RH Deksel","RH Plenum","RH VP Raam","RH Vlakke Plaat","RH Flexibel",""}),""))))))</f>
        <v>Breedte Boven</v>
      </c>
      <c r="G11" s="20" t="str">
        <f>IF(OR($B11={"RH T-Stuk"}),"Breedte Rechts",IF(OR($B11={"RH Verloop"}),"Diepte Boven",IF(OR($B11={"RH-S Bocht 2x"}),"Breedte Linksboven",IF(OR($B11={"RH-S Bocht en Verloop","RH-S Bocht + vierkant-rond"}),"Breedte Bocht Boven",IF(OR($B11={"RH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11" s="20" t="str">
        <f>IF(OR($B11={"RH-S Bocht 2x"}),"Breedte Rechtsboven",IF(OR($B11={"RH-S Bocht en Verloop"}),"Verloop Breedte Boven",IF(OR($B11={"RH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1" s="20" t="str">
        <f>IF(OR($B11={"RH-S Bocht en Verloop"}),"Verloop Diepte Boven",IF(OR($B11={"RH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1" s="35" t="str">
        <f>IF(OR($B11={"RH Bocht","RH Verloop","RH-S Bocht en Verloop","RH=S Bocht + Vierkant-rond","RH Sprong","RH Afgesch. Kanaal"}),"Graden",IF(OR($B11={"RH-S Bocht + vierkant-rond"}),"Graden Bocht",IF(OR($B11={"RH-S Bocht 2x"}),"Graden Links",IF(OR($B11={"RH Recht kanaal","RH Bocht","RH Verloop","RH T-Stuk","RH Sprong","RH Aftakking","RH Vierkant-Rond","RH Deksel","RH Afgesch. Kanaal","RH Plenum","RH VP Raam","RH Vlakke Plaat","RH Flexibel",""}),""))))</f>
        <v>Graden</v>
      </c>
      <c r="K11" s="20" t="str">
        <f>IF(OR($B11={"RH-S Bocht + vierkant-rond"}),"Graden Verloop",IF(OR($B11={"RH-S Bocht 2x"}),"Graden Rechts",IF(OR($B11={"RH Recht kanaal","RH Bocht","RH Verloop","RH T-Stuk","RH Sprong","RH-S Bocht en Verloop","RH Aftakking","RH Vierkant-Rond","RH Deksel","RH Afgesch. Kanaal","RH Plenum","RH VP Raam","RH Vlakke Plaat","RH Flexibel",""}),"")))</f>
        <v/>
      </c>
      <c r="L11" s="35" t="str">
        <f>IF(OR($B11={"RH Bocht"}),"Radius",IF(OR($B11={"RH T-stuk","RH-S Bocht 2x"}),"Radius Links",IF(OR($B11={"RH-S Bocht en verloop","RH-S Bocht + Vierkant-Rond"}),"Radius Bocht",IF(OR($B11={"RH Recht kanaal","RH Bocht","RH Verloop","RH T-Stuk","RH Sprong","RH Aftakking","RH Vierkant-Rond","RH Deksel","RH Afgesch. Kanaal","RH Plenum","RH VP Raam","RH Vlakke Plaat","RH Flexibel",""}),""))))</f>
        <v>Radius</v>
      </c>
      <c r="M11" s="20" t="str">
        <f>IF(OR($B11={"RH T-stuk","RH-S Bocht 2x"}),"Radius Rechts",IF(OR($B11={"RH-S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1" s="35" t="str">
        <f>IF(OR($B11={"RH T-stuk","RH Sprong"}),"Extensie Links",IF(OR($B11={"RH Aftakking","RH Bocht","RH-S Bocht + vierkant-rond"}),"Extensie Boven",IF(OR($B11={"RH-S Bocht en Verloop"}),"Extensie Onder",IF(OR($B11={"RH-S Bocht en Verloop","RH Recht kanaal","RH-S Bocht 2x","RH Verloop","RH T-Stuk","RH Sprong","RH Aftakking","RH Vierkant-Rond","RH Deksel","RH Afgesch. Kanaal","RH Plenum","RH VP Raam","RH Vlakke Plaat","RH Flexibel",""}),""))))</f>
        <v>Extensie Boven</v>
      </c>
      <c r="O11" s="20" t="str">
        <f>IF(OR($B11={"RH T-stuk"}),"Extension onder Links",IF(OR($B11={"RH Verloop","RH-S Bocht en verloop","RH-S Bocht + vierkant-rond"}),"Offset Breedte",IF(OR($B11={"RH-S Bocht en Verloop"}),"Extensie Onder",IF(OR($B11={"RH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11" s="35" t="str">
        <f>IF(OR($B11={"RH T-stuk","RH Sprong"}),"Extension Rechts",IF(OR($B11={"RH Bocht","RH-S Bocht + vierkant-rond"}),"Extensie Onder",IF(OR($B11={"RH-S Bocht en Verloop"}),"Extensie Bocht",IF(OR($B11={"RH Bocht","RH-S Bocht en Verloop","RH Recht kanaal","RH-S Bocht 2x","RH Verloop","RH T-Stuk","RH Sprong","RH Aftakking","RH Vierkant-Rond","RH Deksel","RH Afgesch. Kanaal","RH Plenum","RH VP Raam","RH Vlakke Plaat","RH Flexibel",""}),""))))</f>
        <v>Extensie Onder</v>
      </c>
      <c r="Q11" s="20" t="str">
        <f>IF(OR($B11={"RH T-stuk"}),"Extension Onder Rechts",IF(OR($B11={"RH Verloop","RH-S Bocht en verloop","RH-S Bocht + vierkant-rond"}),"Offset Diepte",IF(OR($B11={"RH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11" s="13"/>
      <c r="S11" s="13"/>
      <c r="T11" s="14"/>
      <c r="U11" s="14"/>
      <c r="V11" s="34" t="s">
        <v>43</v>
      </c>
      <c r="W11" s="34" t="s">
        <v>43</v>
      </c>
      <c r="X11" s="3" t="str">
        <f>IF($B11="J","W","")</f>
        <v/>
      </c>
      <c r="Y11" s="4" t="str">
        <f>IF(AND($B11="J",H11&lt;&gt;""),"Schets","")</f>
        <v/>
      </c>
      <c r="Z11" s="11">
        <f>IF(A11="","",1)</f>
        <v>1</v>
      </c>
      <c r="AB11" s="1"/>
    </row>
    <row r="12" spans="1:28" s="2" customFormat="1" ht="17.100000000000001" customHeight="1" x14ac:dyDescent="0.2">
      <c r="A12" s="24">
        <f>IF(AND($A11&lt;&gt;"",$B11&lt;&gt;""),$A11+1,"")</f>
        <v>4</v>
      </c>
      <c r="B12" s="38" t="s">
        <v>40</v>
      </c>
      <c r="C12" s="36">
        <f>IF(AND(A12&gt;0,A12&lt;&gt;""),1,"")</f>
        <v>1</v>
      </c>
      <c r="D12" s="35" t="str">
        <f>IF(OR($B12={"RH Recht kanaal","RH Sprong","RH Aftakking","RH Vierkant-Rond","RH-S Bocht 2x","RH-S Bocht en verloop","RH-S Bocht + vierkant-rond","RH Deksel","RH Afgesch. Kanaal","RH Plenum","RH VP Raam","RH Vlakke Plaat","RH Flexibel"}),"Breedte",IF(OR($B12={"RH T-Stuk","RH Bocht","RH Verloop"}),"Breedte Onder",IF(OR($B12={""}),"")))</f>
        <v>Breedte Onder</v>
      </c>
      <c r="E12" s="35" t="str">
        <f>IF(OR($B12={"RH Recht kanaal","RH T-Stuk","RH Bocht","RH Sprong","RH Aftakking","RH Vierkant-Rond","RH-S Bocht 2x","RH-S Bocht en verloop","RH-S Bocht + vierkant-rond","RH Deksel","RH Afgesch. Kanaal","RH Plenum","RH VP Raam","RH Vlakke Plaat","RH Flexibel"}),"Diepte",IF(OR($B12={"RH Verloop"}),"Diepte Onder",IF(OR($B12={""}),"")))</f>
        <v>Diepte Onder</v>
      </c>
      <c r="F12" s="35" t="str">
        <f>IF(OR($B12={"RH T-Stuk"}),"Breedte Links",IF(OR($B12={"RH Bocht";"RH Verloop"}),"Breedte Boven",IF(OR($B12={"RH-S Bocht 2x"}),"Breedte Linksonder",IF(OR($B12={"RH Afgesch. Kanaal"}),"Breedte schuine zijde",IF(OR($B12={"RH-S Bocht en Verloop","RH-S Bocht + vierkant-rond"}),"Breedte Bocht onder",IF(OR($B12={"RH Recht kanaal","RH Sprong","RH Aftakking","RH Vierkant-Rond","RH-S Bocht 2x","RH-S Bocht en Verloop","RH-S Bocht + Vierkant-rond","RH Deksel","RH Plenum","RH VP Raam","RH Vlakke Plaat","RH Flexibel",""}),""))))))</f>
        <v>Breedte Boven</v>
      </c>
      <c r="G12" s="35" t="str">
        <f>IF(OR($B12={"RH T-Stuk"}),"Breedte Rechts",IF(OR($B12={"RH Verloop"}),"Diepte Boven",IF(OR($B12={"RH-S Bocht 2x"}),"Breedte Linksboven",IF(OR($B12={"RH-S Bocht en Verloop","RH-S Bocht + vierkant-rond"}),"Breedte Bocht Boven",IF(OR($B12={"RH Recht kanaal","RH Bocht","RH Sprong","RH Aftakking","RH Vierkant-Rond","RH-S Bocht 2x","RH-S Bocht en Verloop","RH-S Bocht + Vierkant-rond","RH Deksel","RH Afgesch. Kanaal","RH Plenum","RH VP Raam","RH Vlakke Plaat","RH Flexibel",""}),"")))))</f>
        <v>Diepte Boven</v>
      </c>
      <c r="H12" s="20" t="str">
        <f>IF(OR($B12={"RH-S Bocht 2x"}),"Breedte Rechtsboven",IF(OR($B12={"RH-S Bocht en Verloop"}),"Verloop Breedte Boven",IF(OR($B12={"RH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2" s="20" t="str">
        <f>IF(OR($B12={"RH-S Bocht en Verloop"}),"Verloop Diepte Boven",IF(OR($B12={"RH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2" s="35" t="str">
        <f>IF(OR($B12={"RH Bocht","RH Verloop","RH-S Bocht en Verloop","RH=S Bocht + Vierkant-rond","RH Sprong","RH Afgesch. Kanaal"}),"Graden",IF(OR($B12={"RH-S Bocht + vierkant-rond"}),"Graden Bocht",IF(OR($B12={"RH-S Bocht 2x"}),"Graden Links",IF(OR($B12={"RH Recht kanaal","RH Bocht","RH Verloop","RH T-Stuk","RH Sprong","RH Aftakking","RH Vierkant-Rond","RH Deksel","RH Afgesch. Kanaal","RH Plenum","RH VP Raam","RH Vlakke Plaat","RH Flexibel",""}),""))))</f>
        <v>Graden</v>
      </c>
      <c r="K12" s="20" t="str">
        <f>IF(OR($B12={"RH-S Bocht + vierkant-rond"}),"Graden Verloop",IF(OR($B12={"RH-S Bocht 2x"}),"Graden Rechts",IF(OR($B12={"RH Recht kanaal","RH Bocht","RH Verloop","RH T-Stuk","RH Sprong","RH-S Bocht en Verloop","RH Aftakking","RH Vierkant-Rond","RH Deksel","RH Afgesch. Kanaal","RH Plenum","RH VP Raam","RH Vlakke Plaat","RH Flexibel",""}),"")))</f>
        <v/>
      </c>
      <c r="L12" s="20" t="str">
        <f>IF(OR($B12={"RH Bocht"}),"Radius",IF(OR($B12={"RH T-stuk","RH-S Bocht 2x"}),"Radius Links",IF(OR($B12={"RH-S Bocht en verloop","RH-S Bocht + Vierkant-Rond"}),"Radius Bocht",IF(OR($B12={"RH Recht kanaal","RH Bocht","RH Verloop","RH T-Stuk","RH Sprong","RH Aftakking","RH Vierkant-Rond","RH Deksel","RH Afgesch. Kanaal","RH Plenum","RH VP Raam","RH Vlakke Plaat","RH Flexibel",""}),""))))</f>
        <v/>
      </c>
      <c r="M12" s="20" t="str">
        <f>IF(OR($B12={"RH T-stuk","RH-S Bocht 2x"}),"Radius Rechts",IF(OR($B12={"RH-S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2" s="20" t="str">
        <f>IF(OR($B12={"RH T-stuk","RH Sprong"}),"Extension Links",IF(OR($B12={"RH Aftakking","RH Bocht","RH-S Bocht + vierkant-rond"}),"Extensie Boven",IF(OR($B12={"RH-S Bocht en Verloop"}),"Extensie Onder",IF(OR($B12={"RH-S Bocht en Verloop","RH Recht kanaal","RH-S Bocht 2x","RH Verloop","RH T-Stuk","RH Sprong","RH Aftakking","RH Vierkant-Rond","RH Deksel","RH Afgesch. Kanaal","RH Plenum","RH VP Raam","RH Vlakke Plaat","RH Flexibel",""}),""))))</f>
        <v/>
      </c>
      <c r="O12" s="35" t="str">
        <f>IF(OR($B12={"RH T-stuk"}),"Extensie onder Links",IF(OR($B12={"RH Verloop","RH-S Bocht en verloop","RH-S Bocht + vierkant-rond"}),"Offset Breedte",IF(OR($B12={"RH-S Bocht en Verloop"}),"Extensie Onder",IF(OR($B12={"RH Bocht","RH-S Bocht en Verloop","RH Recht kanaal","RH-S Bocht 2x","RH Verloop","RH T-Stuk","RH Sprong","RH Aftakking","RH Vierkant-Rond","RH Deksel","RH Afgesch. Kanaal","RH Plenum","RH VP Raam","RH Vlakke Plaat","RH Flexibel",""}),""))))</f>
        <v>Offset Breedte</v>
      </c>
      <c r="P12" s="20" t="str">
        <f>IF(OR($B12={"RH T-stuk","RH Sprong"}),"Extension Rechts",IF(OR($B12={"RH Bocht","RH-S Bocht + vierkant-rond"}),"Extensie Onder",IF(OR($B12={"RH-S Bocht en Verloop"}),"Extensie Bocht",IF(OR($B12={"RH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12" s="35" t="str">
        <f>IF(OR($B12={"RH T-stuk"}),"Extension Onder Rechts",IF(OR($B12={"RH Verloop","RH-S Bocht en verloop","RH-S Bocht + vierkant-rond"}),"Offset Diepte",IF(OR($B12={"RH Bocht","RH-S Bocht en Verloop","RH Recht kanaal","RH-S Bocht 2x","RH Verloop","RH T-Stuk","RH Sprong","RH Aftakking","RH Vierkant-Rond","RH Deksel","RH Afgesch. Kanaal","RH Plenum","RH VP Raam","RH Vlakke Plaat","RH Flexibel",""}),"")))</f>
        <v>Offset Diepte</v>
      </c>
      <c r="R12" s="13"/>
      <c r="S12" s="13"/>
      <c r="T12" s="14"/>
      <c r="U12" s="14"/>
      <c r="V12" s="34" t="s">
        <v>43</v>
      </c>
      <c r="W12" s="34" t="s">
        <v>43</v>
      </c>
      <c r="X12" s="3" t="str">
        <f>IF($B12="J","W","")</f>
        <v/>
      </c>
      <c r="Y12" s="4" t="str">
        <f>IF(AND($B12="J",H12&lt;&gt;""),"Schets","")</f>
        <v/>
      </c>
      <c r="Z12" s="11">
        <f>SUM(Z8:Z11)</f>
        <v>3</v>
      </c>
      <c r="AB12" s="1"/>
    </row>
    <row r="13" spans="1:28" s="2" customFormat="1" ht="17.100000000000001" customHeight="1" x14ac:dyDescent="0.2">
      <c r="A13" s="24">
        <f>IF(AND($A12&lt;&gt;"",$B12&lt;&gt;""),$A12+1,"")</f>
        <v>5</v>
      </c>
      <c r="B13" s="38" t="s">
        <v>20</v>
      </c>
      <c r="C13" s="36">
        <f>IF(AND(A13&gt;0,A13&lt;&gt;""),1,"")</f>
        <v>1</v>
      </c>
      <c r="D13" s="35" t="str">
        <f>IF(OR($B13={"RH Recht kanaal","RH Sprong","RH Aftakking","RH Vierkant-Rond","RH-S Bocht 2x","RH-S Bocht en verloop","RH-S Bocht + vierkant-rond","RH Deksel","RH Afgesch. Kanaal","RH Plenum","RH VP Raam","RH Vlakke Plaat","RH Flexibel"}),"Breedte",IF(OR($B13={"RH T-Stuk","RH Bocht","RH Verloop"}),"Breedte Onder",IF(OR($B13={""}),"")))</f>
        <v>Breedte</v>
      </c>
      <c r="E13" s="35" t="str">
        <f>IF(OR($B13={"RH Recht kanaal","RH T-Stuk","RH Bocht","RH Sprong","RH Aftakking","RH Vierkant-Rond","RH-S Bocht 2x","RH-S Bocht en verloop","RH-S Bocht + vierkant-rond","RH Deksel","RH Afgesch. Kanaal","RH Plenum","RH VP Raam","RH Vlakke Plaat","RH Flexibel"}),"Diepte",IF(OR($B13={"RH Verloop"}),"Diepte Onder",IF(OR($B13={""}),"")))</f>
        <v>Diepte</v>
      </c>
      <c r="F13" s="20" t="str">
        <f>IF(OR($B13={"RH T-Stuk"}),"Breedte Links",IF(OR($B13={"RH Bocht";"RH Verloop"}),"Breedte Boven",IF(OR($B13={"RH-S Bocht 2x"}),"Breedte Linksonder",IF(OR($B13={"RH Afgesch. Kanaal"}),"Breedte schuine zijde",IF(OR($B13={"RH-S Bocht en Verloop","RH-S Bocht + vierkant-rond"}),"Breedte Bocht onder",IF(OR($B13={"RH Recht kanaal","RH Sprong","RH Aftakking","RH Vierkant-Rond","RH-S Bocht 2x","RH-S Bocht en Verloop","RH-S Bocht + Vierkant-rond","RH Deksel","RH Plenum","RH VP Raam","RH Vlakke Plaat","RH Flexibel",""}),""))))))</f>
        <v/>
      </c>
      <c r="G13" s="20" t="str">
        <f>IF(OR($B13={"RH T-Stuk"}),"Breedte Rechts",IF(OR($B13={"RH Verloop"}),"Diepte Boven",IF(OR($B13={"RH-S Bocht 2x"}),"Breedte Linksboven",IF(OR($B13={"RH-S Bocht en Verloop","RH-S Bocht + vierkant-rond"}),"Breedte Bocht Boven",IF(OR($B13={"RH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13" s="20" t="str">
        <f>IF(OR($B13={"RH-S Bocht 2x"}),"Breedte Rechtsboven",IF(OR($B13={"RH-S Bocht en Verloop"}),"Verloop Breedte Boven",IF(OR($B13={"RH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3" s="20" t="str">
        <f>IF(OR($B13={"RH-S Bocht en Verloop"}),"Verloop Diepte Boven",IF(OR($B13={"RH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3" s="35" t="str">
        <f>IF(OR($B13={"RH Bocht","RH Verloop","RH-S Bocht en Verloop","RH=S Bocht + Vierkant-rond","RH Sprong","RH Afgesch. Kanaal"}),"Graden",IF(OR($B13={"RH-S Bocht + vierkant-rond"}),"Graden Bocht",IF(OR($B13={"RH-S Bocht 2x"}),"Graden Links",IF(OR($B13={"RH Recht kanaal","RH Bocht","RH Verloop","RH T-Stuk","RH Sprong","RH Aftakking","RH Vierkant-Rond","RH Deksel","RH Afgesch. Kanaal","RH Plenum","RH VP Raam","RH Vlakke Plaat","RH Flexibel",""}),""))))</f>
        <v>Graden</v>
      </c>
      <c r="K13" s="20" t="str">
        <f>IF(OR($B13={"RH-S Bocht + vierkant-rond"}),"Graden Verloop",IF(OR($B13={"RH-S Bocht 2x"}),"Graden Rechts",IF(OR($B13={"RH Recht kanaal","RH Bocht","RH Verloop","RH T-Stuk","RH Sprong","RH-S Bocht en Verloop","RH Aftakking","RH Vierkant-Rond","RH Deksel","RH Afgesch. Kanaal","RH Plenum","RH VP Raam","RH Vlakke Plaat","RH Flexibel",""}),"")))</f>
        <v/>
      </c>
      <c r="L13" s="20" t="str">
        <f>IF(OR($B13={"RH Bocht"}),"Radius",IF(OR($B13={"RH T-stuk","RH-S Bocht 2x"}),"Radius Links",IF(OR($B13={"RH-S Bocht en verloop","RH-S Bocht + Vierkant-Rond"}),"Radius Bocht",IF(OR($B13={"RH Recht kanaal","RH Bocht","RH Verloop","RH T-Stuk","RH Sprong","RH Aftakking","RH Vierkant-Rond","RH Deksel","RH Afgesch. Kanaal","RH Plenum","RH VP Raam","RH Vlakke Plaat","RH Flexibel",""}),""))))</f>
        <v/>
      </c>
      <c r="M13" s="20" t="str">
        <f>IF(OR($B13={"RH T-stuk","RH-S Bocht 2x"}),"Radius Rechts",IF(OR($B13={"RH-S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3" s="35" t="str">
        <f>IF(OR($B13={"RH T-stuk","RH Sprong"}),"Extensie Links",IF(OR($B13={"RH Aftakking","RH Bocht","RH-S Bocht + vierkant-rond"}),"Extensie Boven",IF(OR($B13={"RH-S Bocht en Verloop"}),"Extensie Onder",IF(OR($B13={"RH-S Bocht en Verloop","RH Recht kanaal","RH-S Bocht 2x","RH Verloop","RH T-Stuk","RH Sprong","RH Aftakking","RH Vierkant-Rond","RH Deksel","RH Afgesch. Kanaal","RH Plenum","RH VP Raam","RH Vlakke Plaat","RH Flexibel",""}),""))))</f>
        <v>Extensie Links</v>
      </c>
      <c r="O13" s="20" t="str">
        <f>IF(OR($B13={"RH T-stuk"}),"Extension onder Links",IF(OR($B13={"RH Verloop","RH-S Bocht en verloop","RH-S Bocht + vierkant-rond"}),"Offset Breedte",IF(OR($B13={"RH-S Bocht en Verloop"}),"Extensie Onder",IF(OR($B13={"RH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13" s="35" t="str">
        <f>IF(OR($B13={"RH T-stuk","RH Sprong"}),"Extension Rechts",IF(OR($B13={"RH Bocht","RH-S Bocht + vierkant-rond"}),"Extensie Onder",IF(OR($B13={"RH-S Bocht en Verloop"}),"Extensie Bocht",IF(OR($B13={"RH Bocht","RH-S Bocht en Verloop","RH Recht kanaal","RH-S Bocht 2x","RH Verloop","RH T-Stuk","RH Sprong","RH Aftakking","RH Vierkant-Rond","RH Deksel","RH Afgesch. Kanaal","RH Plenum","RH VP Raam","RH Vlakke Plaat","RH Flexibel",""}),""))))</f>
        <v>Extension Rechts</v>
      </c>
      <c r="Q13" s="20" t="str">
        <f>IF(OR($B13={"RH T-stuk"}),"Extension Onder Rechts",IF(OR($B13={"RH Verloop","RH-S Bocht en verloop","RH-S Bocht + vierkant-rond"}),"Offset Diepte",IF(OR($B13={"RH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13" s="13"/>
      <c r="S13" s="13"/>
      <c r="T13" s="14"/>
      <c r="U13" s="14"/>
      <c r="V13" s="34" t="s">
        <v>43</v>
      </c>
      <c r="W13" s="34" t="s">
        <v>43</v>
      </c>
      <c r="X13" s="3" t="str">
        <f>IF($B13="J","W","")</f>
        <v/>
      </c>
      <c r="Y13" s="4" t="str">
        <f>IF(AND($B13="J",H13&lt;&gt;""),"Schets","")</f>
        <v/>
      </c>
      <c r="Z13" s="11">
        <f>IF(A13="","",1)</f>
        <v>1</v>
      </c>
      <c r="AB13" s="1"/>
    </row>
    <row r="14" spans="1:28" s="2" customFormat="1" ht="17.100000000000001" customHeight="1" x14ac:dyDescent="0.2">
      <c r="A14" s="24">
        <f>IF(AND($A13&lt;&gt;"",$B13&lt;&gt;""),$A13+1,"")</f>
        <v>6</v>
      </c>
      <c r="B14" s="38" t="s">
        <v>21</v>
      </c>
      <c r="C14" s="36">
        <f>IF(AND(A14&gt;0,A14&lt;&gt;""),1,"")</f>
        <v>1</v>
      </c>
      <c r="D14" s="35" t="str">
        <f>IF(OR($B14={"RH Recht kanaal","RH Sprong","RH Aftakking","RH Vierkant-Rond","RH-S Bocht 2x","RH-S Bocht en verloop","RH-S Bocht + vierkant-rond","RH Deksel","RH Afgesch. Kanaal","RH Plenum","RH VP Raam","RH Vlakke Plaat","RH Flexibel"}),"Breedte",IF(OR($B14={"RH T-Stuk","RH Bocht","RH Verloop"}),"Breedte Onder",IF(OR($B14={""}),"")))</f>
        <v>Breedte</v>
      </c>
      <c r="E14" s="35" t="str">
        <f>IF(OR($B14={"RH Recht kanaal","RH T-Stuk","RH Bocht","RH Sprong","RH Aftakking","RH Vierkant-Rond","RH-S Bocht 2x","RH-S Bocht en verloop","RH-S Bocht + vierkant-rond","RH Deksel","RH Afgesch. Kanaal","RH Plenum","RH VP Raam","RH Vlakke Plaat","RH Flexibel"}),"Diepte",IF(OR($B14={"RH Verloop"}),"Diepte Onder",IF(OR($B14={""}),"")))</f>
        <v>Diepte</v>
      </c>
      <c r="F14" s="20" t="str">
        <f>IF(OR($B14={"RH T-Stuk"}),"Breedte Links",IF(OR($B14={"RH Bocht";"RH Verloop"}),"Breedte Boven",IF(OR($B14={"RH-S Bocht 2x"}),"Breedte Linksonder",IF(OR($B14={"RH Afgesch. Kanaal"}),"Breedte schuine zijde",IF(OR($B14={"RH-S Bocht en Verloop","RH-S Bocht + vierkant-rond"}),"Breedte Bocht onder",IF(OR($B14={"RH Recht kanaal","RH Sprong","RH Aftakking","RH Vierkant-Rond","RH-S Bocht 2x","RH-S Bocht en Verloop","RH-S Bocht + Vierkant-rond","RH Deksel","RH Plenum","RH VP Raam","RH Vlakke Plaat","RH Flexibel",""}),""))))))</f>
        <v/>
      </c>
      <c r="G14" s="20" t="str">
        <f>IF(OR($B14={"RH T-Stuk"}),"Breedte Rechts",IF(OR($B14={"RH Verloop"}),"Diepte Boven",IF(OR($B14={"RH-S Bocht 2x"}),"Breedte Linksboven",IF(OR($B14={"RH-S Bocht en Verloop","RH-S Bocht + vierkant-rond"}),"Breedte Bocht Boven",IF(OR($B14={"RH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14" s="20" t="str">
        <f>IF(OR($B14={"RH-S Bocht 2x"}),"Breedte Rechtsboven",IF(OR($B14={"RH-S Bocht en Verloop"}),"Verloop Breedte Boven",IF(OR($B14={"RH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4" s="20" t="str">
        <f>IF(OR($B14={"RH-S Bocht en Verloop"}),"Verloop Diepte Boven",IF(OR($B14={"RH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4" s="20" t="str">
        <f>IF(OR($B14={"RH Bocht","RH Verloop","RH-S Bocht en Verloop","RH=S Bocht + Vierkant-rond","RH Sprong","RH Afgesch. Kanaal"}),"Graden",IF(OR($B14={"RH-S Bocht + vierkant-rond"}),"Graden Bocht",IF(OR($B14={"RH-S Bocht 2x"}),"Graden Links",IF(OR($B14={"RH Recht kanaal","RH Bocht","RH Verloop","RH T-Stuk","RH Sprong","RH Aftakking","RH Vierkant-Rond","RH Deksel","RH Afgesch. Kanaal","RH Plenum","RH VP Raam","RH Vlakke Plaat","RH Flexibel",""}),""))))</f>
        <v/>
      </c>
      <c r="K14" s="20" t="str">
        <f>IF(OR($B14={"RH-S Bocht + vierkant-rond"}),"Graden Verloop",IF(OR($B14={"RH-S Bocht 2x"}),"Graden Rechts",IF(OR($B14={"RH Recht kanaal","RH Bocht","RH Verloop","RH T-Stuk","RH Sprong","RH-S Bocht en Verloop","RH Aftakking","RH Vierkant-Rond","RH Deksel","RH Afgesch. Kanaal","RH Plenum","RH VP Raam","RH Vlakke Plaat","RH Flexibel",""}),"")))</f>
        <v/>
      </c>
      <c r="L14" s="20" t="str">
        <f>IF(OR($B14={"RH Bocht"}),"Radius",IF(OR($B14={"RH T-stuk","RH-S Bocht 2x"}),"Radius Links",IF(OR($B14={"RH-S Bocht en verloop","RH-S Bocht + Vierkant-Rond"}),"Radius Bocht",IF(OR($B14={"RH Recht kanaal","RH Bocht","RH Verloop","RH T-Stuk","RH Sprong","RH Aftakking","RH Vierkant-Rond","RH Deksel","RH Afgesch. Kanaal","RH Plenum","RH VP Raam","RH Vlakke Plaat","RH Flexibel",""}),""))))</f>
        <v/>
      </c>
      <c r="M14" s="20" t="str">
        <f>IF(OR($B14={"RH T-stuk","RH-S Bocht 2x"}),"Radius Rechts",IF(OR($B14={"RH-S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4" s="35" t="str">
        <f>IF(OR($B14={"RH T-stuk","RH Sprong"}),"Extension Links",IF(OR($B14={"RH Aftakking","RH Bocht","RH-S Bocht + vierkant-rond"}),"Extensie Boven",IF(OR($B14={"RH-S Bocht en Verloop"}),"Extensie Onder",IF(OR($B14={"RH-S Bocht en Verloop","RH Recht kanaal","RH-S Bocht 2x","RH Verloop","RH T-Stuk","RH Sprong","RH Aftakking","RH Vierkant-Rond","RH Deksel","RH Afgesch. Kanaal","RH Plenum","RH VP Raam","RH Vlakke Plaat","RH Flexibel",""}),""))))</f>
        <v>Extensie Boven</v>
      </c>
      <c r="O14" s="20" t="str">
        <f>IF(OR($B14={"RH T-stuk"}),"Extension onder Links",IF(OR($B14={"RH Verloop","RH-S Bocht en verloop","RH-S Bocht + vierkant-rond"}),"Offset Breedte",IF(OR($B14={"RH-S Bocht en Verloop"}),"Extensie Onder",IF(OR($B14={"RH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14" s="20" t="str">
        <f>IF(OR($B14={"RH T-stuk","RH Sprong"}),"Extension Rechts",IF(OR($B14={"RH Bocht","RH-S Bocht + vierkant-rond"}),"Extensie Onder",IF(OR($B14={"RH-S Bocht en Verloop"}),"Extensie Bocht",IF(OR($B14={"RH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14" s="20" t="str">
        <f>IF(OR($B14={"RH T-stuk"}),"Extension Onder Rechts",IF(OR($B14={"RH Verloop","RH-S Bocht en verloop","RH-S Bocht + vierkant-rond"}),"Offset Diepte",IF(OR($B14={"RH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14" s="13"/>
      <c r="S14" s="13"/>
      <c r="T14" s="14"/>
      <c r="U14" s="14"/>
      <c r="V14" s="34" t="s">
        <v>43</v>
      </c>
      <c r="W14" s="3" t="str">
        <f>IF(AND($B14="V",$M14=0),"T",IF(OR($B14={"R","S","W","Q","V","P","J"}),"W",IF($B14="F","P","")))</f>
        <v/>
      </c>
      <c r="X14" s="3" t="str">
        <f>IF($B14="J","W","")</f>
        <v/>
      </c>
      <c r="Y14" s="4" t="str">
        <f>IF(AND($B14="J",H14&lt;&gt;""),"Schets","")</f>
        <v/>
      </c>
      <c r="Z14" s="11">
        <f>IF(A14="","",1)</f>
        <v>1</v>
      </c>
      <c r="AB14" s="1"/>
    </row>
    <row r="15" spans="1:28" s="2" customFormat="1" ht="17.100000000000001" customHeight="1" x14ac:dyDescent="0.2">
      <c r="A15" s="24">
        <f>IF(AND($A14&lt;&gt;"",$B14&lt;&gt;""),$A14+1,"")</f>
        <v>7</v>
      </c>
      <c r="B15" s="38" t="s">
        <v>22</v>
      </c>
      <c r="C15" s="36">
        <f>IF(AND(A15&gt;0,A15&lt;&gt;""),1,"")</f>
        <v>1</v>
      </c>
      <c r="D15" s="35" t="str">
        <f>IF(OR($B15={"RH Recht kanaal","RH Sprong","RH Aftakking","RH Vierkant-Rond","RH-S Bocht 2x","RH-S Bocht en verloop","RH-S Bocht + vierkant-rond","RH Deksel","RH Afgesch. Kanaal","RH Plenum","RH VP Raam","RH Vlakke Plaat","RH Flexibel"}),"Breedte",IF(OR($B15={"RH T-Stuk","RH Bocht","RH Verloop"}),"Breedte Onder",IF(OR($B15={""}),"")))</f>
        <v>Breedte</v>
      </c>
      <c r="E15" s="35" t="str">
        <f>IF(OR($B15={"RH Recht kanaal","RH T-Stuk","RH Bocht","RH Sprong","RH Aftakking","RH Vierkant-Rond","RH-S Bocht 2x","RH-S Bocht en verloop","RH-S Bocht + vierkant-rond","RH Deksel","RH Afgesch. Kanaal","RH Plenum","RH VP Raam","RH Vlakke Plaat","RH Flexibel"}),"Diepte",IF(OR($B15={"RH Verloop"}),"Diepte Onder",IF(OR($B15={""}),"")))</f>
        <v>Diepte</v>
      </c>
      <c r="F15" s="20" t="str">
        <f>IF(OR($B15={"RH T-Stuk"}),"Breedte Links",IF(OR($B15={"RH Bocht";"RH Verloop"}),"Breedte Boven",IF(OR($B15={"RH-S Bocht 2x"}),"Breedte Linksonder",IF(OR($B15={"RH Afgesch. Kanaal"}),"Breedte schuine zijde",IF(OR($B15={"RH-S Bocht en Verloop","RH-S Bocht + vierkant-rond"}),"Breedte Bocht onder",IF(OR($B15={"RH Recht kanaal","RH Sprong","RH Aftakking","RH Vierkant-Rond","RH-S Bocht 2x","RH-S Bocht en Verloop","RH-S Bocht + Vierkant-rond","RH Deksel","RH Plenum","RH VP Raam","RH Vlakke Plaat","RH Flexibel",""}),""))))))</f>
        <v/>
      </c>
      <c r="G15" s="20" t="str">
        <f>IF(OR($B15={"RH T-Stuk"}),"Breedte Rechts",IF(OR($B15={"RH Verloop"}),"Diepte Boven",IF(OR($B15={"RH-S Bocht 2x"}),"Breedte Linksboven",IF(OR($B15={"RH-S Bocht en Verloop","RH-S Bocht + vierkant-rond"}),"Breedte Bocht Boven",IF(OR($B15={"RH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15" s="20" t="str">
        <f>IF(OR($B15={"RH-S Bocht 2x"}),"Breedte Rechtsboven",IF(OR($B15={"RH-S Bocht en Verloop"}),"Verloop Breedte Boven",IF(OR($B15={"RH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5" s="20" t="str">
        <f>IF(OR($B15={"RH-S Bocht en Verloop"}),"Verloop Diepte Boven",IF(OR($B15={"RH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5" s="20" t="str">
        <f>IF(OR($B15={"RH Bocht","RH Verloop","RH-S Bocht en Verloop","RH=S Bocht + Vierkant-rond","RH Sprong","RH Afgesch. Kanaal"}),"Graden",IF(OR($B15={"RH-S Bocht + vierkant-rond"}),"Graden Bocht",IF(OR($B15={"RH-S Bocht 2x"}),"Graden Links",IF(OR($B15={"RH Recht kanaal","RH Bocht","RH Verloop","RH T-Stuk","RH Sprong","RH Aftakking","RH Vierkant-Rond","RH Deksel","RH Afgesch. Kanaal","RH Plenum","RH VP Raam","RH Vlakke Plaat","RH Flexibel",""}),""))))</f>
        <v/>
      </c>
      <c r="K15" s="20" t="str">
        <f>IF(OR($B15={"RH-S Bocht + vierkant-rond"}),"Graden Verloop",IF(OR($B15={"RH-S Bocht 2x"}),"Graden Rechts",IF(OR($B15={"RH Recht kanaal","RH Bocht","RH Verloop","RH T-Stuk","RH Sprong","RH-S Bocht en Verloop","RH Aftakking","RH Vierkant-Rond","RH Deksel","RH Afgesch. Kanaal","RH Plenum","RH VP Raam","RH Vlakke Plaat","RH Flexibel",""}),"")))</f>
        <v/>
      </c>
      <c r="L15" s="20" t="str">
        <f>IF(OR($B15={"RH Bocht"}),"Radius",IF(OR($B15={"RH T-stuk","RH-S Bocht 2x"}),"Radius Links",IF(OR($B15={"RH-S Bocht en verloop","RH-S Bocht + Vierkant-Rond"}),"Radius Bocht",IF(OR($B15={"RH Recht kanaal","RH Bocht","RH Verloop","RH T-Stuk","RH Sprong","RH Aftakking","RH Vierkant-Rond","RH Deksel","RH Afgesch. Kanaal","RH Plenum","RH VP Raam","RH Vlakke Plaat","RH Flexibel",""}),""))))</f>
        <v/>
      </c>
      <c r="M15" s="20" t="str">
        <f>IF(OR($B15={"RH T-stuk","RH-S Bocht 2x"}),"Radius Rechts",IF(OR($B15={"RH-S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5" s="20" t="str">
        <f>IF(OR($B15={"RH T-stuk","RH Sprong"}),"Extension Links",IF(OR($B15={"RH Aftakking","RH Bocht","RH-S Bocht + vierkant-rond"}),"Extensie Boven",IF(OR($B15={"RH-S Bocht en Verloop"}),"Extensie Onder",IF(OR($B15={"RH-S Bocht en Verloop","RH Recht kanaal","RH-S Bocht 2x","RH Verloop","RH T-Stuk","RH Sprong","RH Aftakking","RH Vierkant-Rond","RH Deksel","RH Afgesch. Kanaal","RH Plenum","RH VP Raam","RH Vlakke Plaat","RH Flexibel",""}),""))))</f>
        <v/>
      </c>
      <c r="O15" s="20" t="str">
        <f>IF(OR($B15={"RH T-stuk"}),"Extension onder Links",IF(OR($B15={"RH Verloop","RH-S Bocht en verloop","RH-S Bocht + vierkant-rond"}),"Offset Breedte",IF(OR($B15={"RH-S Bocht en Verloop"}),"Extensie Onder",IF(OR($B15={"RH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15" s="20" t="str">
        <f>IF(OR($B15={"RH T-stuk","RH Sprong"}),"Extension Rechts",IF(OR($B15={"RH Bocht","RH-S Bocht + vierkant-rond"}),"Extensie Onder",IF(OR($B15={"RH-S Bocht en Verloop"}),"Extensie Bocht",IF(OR($B15={"RH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15" s="20" t="str">
        <f>IF(OR($B15={"RH T-stuk"}),"Extension Onder Rechts",IF(OR($B15={"RH Verloop","RH-S Bocht en verloop","RH-S Bocht + vierkant-rond"}),"Offset Diepte",IF(OR($B15={"RH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15" s="13"/>
      <c r="S15" s="13"/>
      <c r="T15" s="14"/>
      <c r="U15" s="14"/>
      <c r="V15" s="34" t="s">
        <v>46</v>
      </c>
      <c r="W15" s="3" t="str">
        <f>IF(AND($B15="V",$M15=0),"T",IF(OR($B15={"R","S","W","Q","V","P","J"}),"W",IF($B15="F","P","")))</f>
        <v/>
      </c>
      <c r="X15" s="3" t="str">
        <f>IF($B15="J","W","")</f>
        <v/>
      </c>
      <c r="Y15" s="4" t="str">
        <f>IF(AND($B15="J",H15&lt;&gt;""),"Schets","")</f>
        <v/>
      </c>
      <c r="Z15" s="11">
        <f>IF(A15="","",1)</f>
        <v>1</v>
      </c>
      <c r="AB15" s="1"/>
    </row>
    <row r="16" spans="1:28" s="2" customFormat="1" ht="17.100000000000001" customHeight="1" x14ac:dyDescent="0.2">
      <c r="A16" s="24">
        <f>IF(AND($A15&lt;&gt;"",$B15&lt;&gt;""),$A15+1,"")</f>
        <v>8</v>
      </c>
      <c r="B16" s="38" t="s">
        <v>23</v>
      </c>
      <c r="C16" s="36">
        <f>IF(AND(A16&gt;0,A16&lt;&gt;""),1,"")</f>
        <v>1</v>
      </c>
      <c r="D16" s="35" t="str">
        <f>IF(OR($B16={"RH Recht kanaal","RH Sprong","RH Aftakking","RH Vierkant-Rond","RH-S Bocht 2x","RH-S Bocht en verloop","RH-S Bocht + vierkant-rond","RH Deksel","RH Afgesch. Kanaal","RH Plenum","RH VP Raam","RH Vlakke Plaat","RH Flexibel"}),"Breedte",IF(OR($B16={"RH T-Stuk","RH Bocht","RH Verloop"}),"Breedte Onder",IF(OR($B16={""}),"")))</f>
        <v>Breedte</v>
      </c>
      <c r="E16" s="35" t="str">
        <f>IF(OR($B16={"RH Recht kanaal","RH T-Stuk","RH Bocht","RH Sprong","RH Aftakking","RH Vierkant-Rond","RH-S Bocht 2x","RH-S Bocht en verloop","RH-S Bocht + vierkant-rond","RH Deksel","RH Afgesch. Kanaal","RH Plenum","RH VP Raam","RH Vlakke Plaat","RH Flexibel"}),"Diepte",IF(OR($B16={"RH Verloop"}),"Diepte Onder",IF(OR($B16={""}),"")))</f>
        <v>Diepte</v>
      </c>
      <c r="F16" s="35" t="str">
        <f>IF(OR($B16={"RH T-Stuk"}),"Breedte Links",IF(OR($B16={"RH Bocht";"RH Verloop"}),"Breedte Boven",IF(OR($B16={"RH-S Bocht 2x"}),"Breedte Linksonder",IF(OR($B16={"RH Afgesch. Kanaal"}),"Breedte schuine zijde",IF(OR($B16={"RH-S Bocht en Verloop","RH-S Bocht + vierkant-rond"}),"Breedte Bocht onder",IF(OR($B16={"RH Recht kanaal","RH Sprong","RH Aftakking","RH Vierkant-Rond","RH-S Bocht 2x","RH-S Bocht en Verloop","RH-S Bocht + Vierkant-rond","RH Deksel","RH Plenum","RH VP Raam","RH Vlakke Plaat","RH Flexibel",""}),""))))))</f>
        <v>Breedte Linksonder</v>
      </c>
      <c r="G16" s="35" t="str">
        <f>IF(OR($B16={"RH T-Stuk"}),"Breedte Rechts",IF(OR($B16={"RH Verloop"}),"Diepte Boven",IF(OR($B16={"RH-S Bocht 2x"}),"Breedte Linksboven",IF(OR($B16={"RH-S Bocht en Verloop","RH-S Bocht + vierkant-rond"}),"Breedte Bocht Boven",IF(OR($B16={"RH Recht kanaal","RH Bocht","RH Sprong","RH Aftakking","RH Vierkant-Rond","RH-S Bocht 2x","RH-S Bocht en Verloop","RH-S Bocht + Vierkant-rond","RH Deksel","RH Afgesch. Kanaal","RH Plenum","RH VP Raam","RH Vlakke Plaat","RH Flexibel",""}),"")))))</f>
        <v>Breedte Linksboven</v>
      </c>
      <c r="H16" s="35" t="str">
        <f>IF(OR($B16={"RH-S Bocht 2x"}),"Breedte Rechtsboven",IF(OR($B16={"RH-S Bocht en Verloop"}),"Verloop Breedte Boven",IF(OR($B16={"RH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>Breedte Rechtsboven</v>
      </c>
      <c r="I16" s="20" t="str">
        <f>IF(OR($B16={"RH-S Bocht en Verloop"}),"Verloop Diepte Boven",IF(OR($B16={"RH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6" s="35" t="str">
        <f>IF(OR($B16={"RH Bocht","RH Verloop","RH-S Bocht en Verloop","RH=S Bocht + Vierkant-rond","RH Sprong","RH Afgesch. Kanaal"}),"Graden",IF(OR($B16={"RH-S Bocht + vierkant-rond"}),"Graden Bocht",IF(OR($B16={"RH-S Bocht 2x"}),"Graden Links",IF(OR($B16={"RH Recht kanaal","RH Bocht","RH Verloop","RH T-Stuk","RH Sprong","RH Aftakking","RH Vierkant-Rond","RH Deksel","RH Afgesch. Kanaal","RH Plenum","RH VP Raam","RH Vlakke Plaat","RH Flexibel",""}),""))))</f>
        <v>Graden Links</v>
      </c>
      <c r="K16" s="35" t="str">
        <f>IF(OR($B16={"RH-S Bocht + vierkant-rond"}),"Graden Verloop",IF(OR($B16={"RH-S Bocht 2x"}),"Graden Rechts",IF(OR($B16={"RH Recht kanaal","RH Bocht","RH Verloop","RH T-Stuk","RH Sprong","RH-S Bocht en Verloop","RH Aftakking","RH Vierkant-Rond","RH Deksel","RH Afgesch. Kanaal","RH Plenum","RH VP Raam","RH Vlakke Plaat","RH Flexibel",""}),"")))</f>
        <v>Graden Rechts</v>
      </c>
      <c r="L16" s="35" t="str">
        <f>IF(OR($B16={"RH Bocht"}),"Radius",IF(OR($B16={"RH T-stuk","RH-S Bocht 2x"}),"Radius Links",IF(OR($B16={"RH-S Bocht en verloop","RH-S Bocht + Vierkant-Rond"}),"Radius Bocht",IF(OR($B16={"RH Recht kanaal","RH Bocht","RH Verloop","RH T-Stuk","RH Sprong","RH Aftakking","RH Vierkant-Rond","RH Deksel","RH Afgesch. Kanaal","RH Plenum","RH VP Raam","RH Vlakke Plaat","RH Flexibel",""}),""))))</f>
        <v>Radius Links</v>
      </c>
      <c r="M16" s="35" t="str">
        <f>IF(OR($B16={"RH T-stuk","RH-S Bocht 2x"}),"Radius Rechts",IF(OR($B16={"RH-S Bocht + Vierkant-rond","RH-S Bocht en Verloop","RH Recht kanaal","RH Bocht","RH Verloop","RH T-Stuk","RH Sprong","RH Aftakking","RH Vierkant-Rond","RH Deksel","RH Afgesch. Kanaal","RH Plenum","RH VP Raam","RH Vlakke Plaat","RH Flexibel",""}),""))</f>
        <v>Radius Rechts</v>
      </c>
      <c r="N16" s="20" t="str">
        <f>IF(OR($B16={"RH T-stuk","RH Sprong"}),"Extension Links",IF(OR($B16={"RH Aftakking","RH Bocht","RH-S Bocht + vierkant-rond"}),"Extensie Boven",IF(OR($B16={"RH-S Bocht en Verloop"}),"Extensie Onder",IF(OR($B16={"RH-S Bocht en Verloop","RH Recht kanaal","RH-S Bocht 2x","RH Verloop","RH T-Stuk","RH Sprong","RH Aftakking","RH Vierkant-Rond","RH Deksel","RH Afgesch. Kanaal","RH Plenum","RH VP Raam","RH Vlakke Plaat","RH Flexibel",""}),""))))</f>
        <v/>
      </c>
      <c r="O16" s="20" t="str">
        <f>IF(OR($B16={"RH T-stuk"}),"Extension onder Links",IF(OR($B16={"RH Verloop","RH-S Bocht en verloop","RH-S Bocht + vierkant-rond"}),"Offset Breedte",IF(OR($B16={"RH-S Bocht en Verloop"}),"Extensie Onder",IF(OR($B16={"RH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16" s="20" t="str">
        <f>IF(OR($B16={"RH T-stuk","RH Sprong"}),"Extension Rechts",IF(OR($B16={"RH Bocht","RH-S Bocht + vierkant-rond"}),"Extensie Onder",IF(OR($B16={"RH-S Bocht en Verloop"}),"Extensie Bocht",IF(OR($B16={"RH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16" s="20" t="str">
        <f>IF(OR($B16={"RH T-stuk"}),"Extension Onder Rechts",IF(OR($B16={"RH Verloop","RH-S Bocht en verloop","RH-S Bocht + vierkant-rond"}),"Offset Diepte",IF(OR($B16={"RH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16" s="13"/>
      <c r="S16" s="13"/>
      <c r="T16" s="14"/>
      <c r="U16" s="14"/>
      <c r="V16" s="34" t="s">
        <v>43</v>
      </c>
      <c r="W16" s="34" t="s">
        <v>43</v>
      </c>
      <c r="X16" s="34" t="s">
        <v>43</v>
      </c>
      <c r="Y16" s="4" t="str">
        <f>IF(AND($B16="J",H16&lt;&gt;""),"Schets","")</f>
        <v/>
      </c>
      <c r="Z16" s="11">
        <f>IF(A16="","",1)</f>
        <v>1</v>
      </c>
      <c r="AB16" s="1"/>
    </row>
    <row r="17" spans="1:28" s="2" customFormat="1" ht="17.100000000000001" customHeight="1" x14ac:dyDescent="0.2">
      <c r="A17" s="24">
        <f>IF(AND($A16&lt;&gt;"",$B16&lt;&gt;""),$A16+1,"")</f>
        <v>9</v>
      </c>
      <c r="B17" s="38" t="s">
        <v>41</v>
      </c>
      <c r="C17" s="36">
        <f>IF(AND(A17&gt;0,A17&lt;&gt;""),1,"")</f>
        <v>1</v>
      </c>
      <c r="D17" s="35" t="str">
        <f>IF(OR($B17={"RH Recht kanaal","RH Sprong","RH Aftakking","RH Vierkant-Rond","RH-S Bocht 2x","RH-S Bocht en verloop","RH-S Bocht + vierkant-rond","RH Deksel","RH Afgesch. Kanaal","RH Plenum","RH VP Raam","RH Vlakke Plaat","RH Flexibel"}),"Breedte",IF(OR($B17={"RH T-Stuk","RH Bocht","RH Verloop"}),"Breedte Onder",IF(OR($B17={""}),"")))</f>
        <v>Breedte</v>
      </c>
      <c r="E17" s="35" t="str">
        <f>IF(OR($B17={"RH Recht kanaal","RH T-Stuk","RH Bocht","RH Sprong","RH Aftakking","RH Vierkant-Rond","RH-S Bocht 2x","RH-S Bocht en verloop","RH-S Bocht + vierkant-rond","RH Deksel","RH Afgesch. Kanaal","RH Plenum","RH VP Raam","RH Vlakke Plaat","RH Flexibel"}),"Diepte",IF(OR($B17={"RH Verloop"}),"Diepte Onder",IF(OR($B17={""}),"")))</f>
        <v>Diepte</v>
      </c>
      <c r="F17" s="35" t="str">
        <f>IF(OR($B17={"RH T-Stuk"}),"Breedte Links",IF(OR($B17={"RH Bocht";"RH Verloop"}),"Breedte Boven",IF(OR($B17={"RH-S Bocht 2x"}),"Breedte Linksonder",IF(OR($B17={"RH Afgesch. Kanaal"}),"Breedte schuine zijde",IF(OR($B17={"RH-S Bocht en Verloop","RH-S Bocht + vierkant-rond"}),"Breedte Bocht onder",IF(OR($B17={"RH Recht kanaal","RH Sprong","RH Aftakking","RH Vierkant-Rond","RH-S Bocht 2x","RH-S Bocht en Verloop","RH-S Bocht + Vierkant-rond","RH Deksel","RH Plenum","RH VP Raam","RH Vlakke Plaat","RH Flexibel",""}),""))))))</f>
        <v>Breedte Bocht onder</v>
      </c>
      <c r="G17" s="35" t="str">
        <f>IF(OR($B17={"RH T-Stuk"}),"Breedte Rechts",IF(OR($B17={"RH Verloop"}),"Diepte Boven",IF(OR($B17={"RH-S Bocht 2x"}),"Breedte Linksboven",IF(OR($B17={"RH-S Bocht en Verloop","RH-S Bocht + vierkant-rond"}),"Breedte Bocht Boven",IF(OR($B17={"RH Recht kanaal","RH Bocht","RH Sprong","RH Aftakking","RH Vierkant-Rond","RH-S Bocht 2x","RH-S Bocht en Verloop","RH-S Bocht + Vierkant-rond","RH Deksel","RH Afgesch. Kanaal","RH Plenum","RH VP Raam","RH Vlakke Plaat","RH Flexibel",""}),"")))))</f>
        <v>Breedte Bocht Boven</v>
      </c>
      <c r="H17" s="35" t="str">
        <f>IF(OR($B17={"RH-S Bocht 2x"}),"Breedte Rechtsboven",IF(OR($B17={"RH-S Bocht en Verloop"}),"Verloop Breedte Boven",IF(OR($B17={"RH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>Verloop Breedte Boven</v>
      </c>
      <c r="I17" s="35" t="str">
        <f>IF(OR($B17={"RH-S Bocht en Verloop"}),"Verloop Diepte Boven",IF(OR($B17={"RH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>Verloop Diepte Boven</v>
      </c>
      <c r="J17" s="35" t="str">
        <f>IF(OR($B17={"RH Bocht","RH Verloop","RH-S Bocht en Verloop","RH=S Bocht + Vierkant-rond","RH Sprong","RH Afgesch. Kanaal"}),"Graden",IF(OR($B17={"RH-S Bocht + vierkant-rond"}),"Graden Bocht",IF(OR($B17={"RH-S Bocht 2x"}),"Graden Links",IF(OR($B17={"RH Recht kanaal","RH Bocht","RH Verloop","RH T-Stuk","RH Sprong","RH Aftakking","RH Vierkant-Rond","RH Deksel","RH Afgesch. Kanaal","RH Plenum","RH VP Raam","RH Vlakke Plaat","RH Flexibel",""}),""))))</f>
        <v>Graden</v>
      </c>
      <c r="K17" s="20" t="str">
        <f>IF(OR($B17={"RH-S Bocht + vierkant-rond"}),"Graden Verloop",IF(OR($B17={"RH-S Bocht 2x"}),"Graden Rechts",IF(OR($B17={"RH Recht kanaal","RH Bocht","RH Verloop","RH T-Stuk","RH Sprong","RH-S Bocht en Verloop","RH Aftakking","RH Vierkant-Rond","RH Deksel","RH Afgesch. Kanaal","RH Plenum","RH VP Raam","RH Vlakke Plaat","RH Flexibel",""}),"")))</f>
        <v/>
      </c>
      <c r="L17" s="35" t="str">
        <f>IF(OR($B17={"RH Bocht"}),"Radius",IF(OR($B17={"RH T-stuk","RH-S Bocht 2x"}),"Radius Links",IF(OR($B17={"RH-S Bocht en verloop","RH-S Bocht + Vierkant-Rond"}),"Radius Bocht",IF(OR($B17={"RH Recht kanaal","RH Bocht","RH Verloop","RH T-Stuk","RH Sprong","RH Aftakking","RH Vierkant-Rond","RH Deksel","RH Afgesch. Kanaal","RH Plenum","RH VP Raam","RH Vlakke Plaat","RH Flexibel",""}),""))))</f>
        <v>Radius Bocht</v>
      </c>
      <c r="M17" s="20" t="str">
        <f>IF(OR($B17={"RH T-stuk","RH-S Bocht 2x"}),"Radius Rechts",IF(OR($B17={"RH-S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7" s="35" t="str">
        <f>IF(OR($B17={"RH T-stuk","RH Sprong"}),"Extension Links",IF(OR($B17={"RH Aftakking","RH Bocht","RH-S Bocht + vierkant-rond"}),"Extensie Boven",IF(OR($B17={"RH-S Bocht en Verloop"}),"Extensie Onder",IF(OR($B17={"RH-S Bocht en Verloop","RH Recht kanaal","RH-S Bocht 2x","RH Verloop","RH T-Stuk","RH Sprong","RH Aftakking","RH Vierkant-Rond","RH Deksel","RH Afgesch. Kanaal","RH Plenum","RH VP Raam","RH Vlakke Plaat","RH Flexibel",""}),""))))</f>
        <v>Extensie Onder</v>
      </c>
      <c r="O17" s="35" t="str">
        <f>IF(OR($B17={"RH T-stuk"}),"Extension onder Links",IF(OR($B17={"RH Verloop","RH-S Bocht en verloop","RH-S Bocht + vierkant-rond"}),"Offset Breedte",IF(OR($B17={"RH-S Bocht en Verloop"}),"Extensie Onder",IF(OR($B17={"RH Bocht","RH-S Bocht en Verloop","RH Recht kanaal","RH-S Bocht 2x","RH Verloop","RH T-Stuk","RH Sprong","RH Aftakking","RH Vierkant-Rond","RH Deksel","RH Afgesch. Kanaal","RH Plenum","RH VP Raam","RH Vlakke Plaat","RH Flexibel",""}),""))))</f>
        <v>Offset Breedte</v>
      </c>
      <c r="P17" s="35" t="str">
        <f>IF(OR($B17={"RH T-stuk","RH Sprong"}),"Extension Rechts",IF(OR($B17={"RH Bocht","RH-S Bocht + vierkant-rond"}),"Extensie Onder",IF(OR($B17={"RH-S Bocht en Verloop"}),"Extensie Bocht",IF(OR($B17={"RH Bocht","RH-S Bocht en Verloop","RH Recht kanaal","RH-S Bocht 2x","RH Verloop","RH T-Stuk","RH Sprong","RH Aftakking","RH Vierkant-Rond","RH Deksel","RH Afgesch. Kanaal","RH Plenum","RH VP Raam","RH Vlakke Plaat","RH Flexibel",""}),""))))</f>
        <v>Extensie Bocht</v>
      </c>
      <c r="Q17" s="35" t="str">
        <f>IF(OR($B17={"RH T-stuk"}),"Extension Onder Rechts",IF(OR($B17={"RH Verloop","RH-S Bocht en verloop","RH-S Bocht + vierkant-rond"}),"Offset Diepte",IF(OR($B17={"RH Bocht","RH-S Bocht en Verloop","RH Recht kanaal","RH-S Bocht 2x","RH Verloop","RH T-Stuk","RH Sprong","RH Aftakking","RH Vierkant-Rond","RH Deksel","RH Afgesch. Kanaal","RH Plenum","RH VP Raam","RH Vlakke Plaat","RH Flexibel",""}),"")))</f>
        <v>Offset Diepte</v>
      </c>
      <c r="R17" s="13"/>
      <c r="S17" s="13"/>
      <c r="T17" s="14"/>
      <c r="U17" s="14"/>
      <c r="V17" s="34" t="s">
        <v>43</v>
      </c>
      <c r="W17" s="34" t="s">
        <v>43</v>
      </c>
      <c r="X17" s="34" t="s">
        <v>43</v>
      </c>
      <c r="Y17" s="4" t="str">
        <f>IF(AND($B17="J",H17&lt;&gt;""),"Schets","")</f>
        <v/>
      </c>
      <c r="Z17" s="11">
        <f>IF(A17="","",1)</f>
        <v>1</v>
      </c>
      <c r="AB17" s="1"/>
    </row>
    <row r="18" spans="1:28" s="2" customFormat="1" ht="17.100000000000001" customHeight="1" x14ac:dyDescent="0.2">
      <c r="A18" s="24">
        <f>IF(AND($A17&lt;&gt;"",$B17&lt;&gt;""),$A17+1,"")</f>
        <v>10</v>
      </c>
      <c r="B18" s="38" t="s">
        <v>42</v>
      </c>
      <c r="C18" s="36">
        <f>IF(AND(A18&gt;0,A18&lt;&gt;""),1,"")</f>
        <v>1</v>
      </c>
      <c r="D18" s="35" t="str">
        <f>IF(OR($B18={"RH Recht kanaal","RH Sprong","RH Aftakking","RH Vierkant-Rond","RH-S Bocht 2x","RH-S Bocht en verloop","RH-S Bocht + vierkant-rond","RH Deksel","RH Afgesch. Kanaal","RH Plenum","RH VP Raam","RH Vlakke Plaat","RH Flexibel"}),"Breedte",IF(OR($B18={"RH T-Stuk","RH Bocht","RH Verloop"}),"Breedte Onder",IF(OR($B18={""}),"")))</f>
        <v>Breedte</v>
      </c>
      <c r="E18" s="35" t="str">
        <f>IF(OR($B18={"RH Recht kanaal","RH T-Stuk","RH Bocht","RH Sprong","RH Aftakking","RH Vierkant-Rond","RH-S Bocht 2x","RH-S Bocht en verloop","RH-S Bocht + vierkant-rond","RH Deksel","RH Afgesch. Kanaal","RH Plenum","RH VP Raam","RH Vlakke Plaat","RH Flexibel"}),"Diepte",IF(OR($B18={"RH Verloop"}),"Diepte Onder",IF(OR($B18={""}),"")))</f>
        <v>Diepte</v>
      </c>
      <c r="F18" s="35" t="str">
        <f>IF(OR($B18={"RH T-Stuk"}),"Breedte Links",IF(OR($B18={"RH Bocht";"RH Verloop"}),"Breedte Boven",IF(OR($B18={"RH-S Bocht 2x"}),"Breedte Linksonder",IF(OR($B18={"RH Afgesch. Kanaal"}),"Breedte schuine zijde",IF(OR($B18={"RH-S Bocht en Verloop","RH-S Bocht + vierkant-rond"}),"Breedte Bocht onder",IF(OR($B18={"RH Recht kanaal","RH Sprong","RH Aftakking","RH Vierkant-Rond","RH-S Bocht 2x","RH-S Bocht en Verloop","RH-S Bocht + Vierkant-rond","RH Deksel","RH Plenum","RH VP Raam","RH Vlakke Plaat","RH Flexibel",""}),""))))))</f>
        <v>Breedte Bocht onder</v>
      </c>
      <c r="G18" s="35" t="str">
        <f>IF(OR($B18={"RH T-Stuk"}),"Breedte Rechts",IF(OR($B18={"RH Verloop"}),"Diepte Boven",IF(OR($B18={"RH-S Bocht 2x"}),"Breedte Linksboven",IF(OR($B18={"RH-S Bocht en Verloop","RH-S Bocht + vierkant-rond"}),"Breedte Bocht Boven",IF(OR($B18={"RH Recht kanaal","RH Bocht","RH Sprong","RH Aftakking","RH Vierkant-Rond","RH-S Bocht 2x","RH-S Bocht en Verloop","RH-S Bocht + Vierkant-rond","RH Deksel","RH Afgesch. Kanaal","RH Plenum","RH VP Raam","RH Vlakke Plaat","RH Flexibel",""}),"")))))</f>
        <v>Breedte Bocht Boven</v>
      </c>
      <c r="H18" s="20" t="str">
        <f>IF(OR($B18={"RH-S Bocht 2x"}),"Breedte Rechtsboven",IF(OR($B18={"RH-S Bocht en Verloop"}),"Verloop Breedte Boven",IF(OR($B18={"RH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8" s="20" t="str">
        <f>IF(OR($B18={"RH-S Bocht en Verloop"}),"Verloop Diepte Boven",IF(OR($B18={"RH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8" s="35" t="str">
        <f>IF(OR($B18={"RH Bocht","RH Verloop","RH-S Bocht en Verloop","RH=S Bocht + Vierkant-rond","RH Sprong","RH Afgesch. Kanaal"}),"Graden",IF(OR($B18={"RH-S Bocht + vierkant-rond"}),"Graden Bocht",IF(OR($B18={"RH-S Bocht 2x"}),"Graden Links",IF(OR($B18={"RH Recht kanaal","RH Bocht","RH Verloop","RH T-Stuk","RH Sprong","RH Aftakking","RH Vierkant-Rond","RH Deksel","RH Afgesch. Kanaal","RH Plenum","RH VP Raam","RH Vlakke Plaat","RH Flexibel",""}),""))))</f>
        <v>Graden Bocht</v>
      </c>
      <c r="K18" s="35" t="str">
        <f>IF(OR($B18={"RH-S Bocht + vierkant-rond"}),"Graden Verloop",IF(OR($B18={"RH-S Bocht 2x"}),"Graden Rechts",IF(OR($B18={"RH Recht kanaal","RH Bocht","RH Verloop","RH T-Stuk","RH Sprong","RH-S Bocht en Verloop","RH Aftakking","RH Vierkant-Rond","RH Deksel","RH Afgesch. Kanaal","RH Plenum","RH VP Raam","RH Vlakke Plaat","RH Flexibel",""}),"")))</f>
        <v>Graden Verloop</v>
      </c>
      <c r="L18" s="35" t="str">
        <f>IF(OR($B18={"RH Bocht"}),"Radius",IF(OR($B18={"RH T-stuk","RH-S Bocht 2x"}),"Radius Links",IF(OR($B18={"RH-S Bocht en verloop","RH-S Bocht + Vierkant-Rond"}),"Radius Bocht",IF(OR($B18={"RH Recht kanaal","RH Bocht","RH Verloop","RH T-Stuk","RH Sprong","RH Aftakking","RH Vierkant-Rond","RH Deksel","RH Afgesch. Kanaal","RH Plenum","RH VP Raam","RH Vlakke Plaat","RH Flexibel",""}),""))))</f>
        <v>Radius Bocht</v>
      </c>
      <c r="M18" s="20" t="str">
        <f>IF(OR($B18={"RH T-stuk","RH-S Bocht 2x"}),"Radius Rechts",IF(OR($B18={"RH-S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8" s="35" t="str">
        <f>IF(OR($B18={"RH T-stuk","RH Sprong"}),"Extension Links",IF(OR($B18={"RH Aftakking","RH Bocht","RH-S Bocht + vierkant-rond"}),"Extensie Boven",IF(OR($B18={"RH-S Bocht en Verloop"}),"Extensie Onder",IF(OR($B18={"RH-S Bocht en Verloop","RH Recht kanaal","RH-S Bocht 2x","RH Verloop","RH T-Stuk","RH Sprong","RH Aftakking","RH Vierkant-Rond","RH Deksel","RH Afgesch. Kanaal","RH Plenum","RH VP Raam","RH Vlakke Plaat","RH Flexibel",""}),""))))</f>
        <v>Extensie Boven</v>
      </c>
      <c r="O18" s="35" t="str">
        <f>IF(OR($B18={"RH T-stuk"}),"Extension onder Links",IF(OR($B18={"RH Verloop","RH-S Bocht en verloop","RH-S Bocht + vierkant-rond"}),"Offset Breedte",IF(OR($B18={"RH-S Bocht en Verloop"}),"Extensie Onder",IF(OR($B18={"RH Bocht","RH-S Bocht en Verloop","RH Recht kanaal","RH-S Bocht 2x","RH Verloop","RH T-Stuk","RH Sprong","RH Aftakking","RH Vierkant-Rond","RH Deksel","RH Afgesch. Kanaal","RH Plenum","RH VP Raam","RH Vlakke Plaat","RH Flexibel",""}),""))))</f>
        <v>Offset Breedte</v>
      </c>
      <c r="P18" s="35" t="str">
        <f>IF(OR($B18={"RH T-stuk","RH Sprong"}),"Extension Rechts",IF(OR($B18={"RH Bocht","RH-S Bocht + vierkant-rond"}),"Extensie Onder",IF(OR($B18={"RH-S Bocht en Verloop"}),"Extensie Bocht",IF(OR($B18={"RH Bocht","RH-S Bocht en Verloop","RH Recht kanaal","RH-S Bocht 2x","RH Verloop","RH T-Stuk","RH Sprong","RH Aftakking","RH Vierkant-Rond","RH Deksel","RH Afgesch. Kanaal","RH Plenum","RH VP Raam","RH Vlakke Plaat","RH Flexibel",""}),""))))</f>
        <v>Extensie Onder</v>
      </c>
      <c r="Q18" s="35" t="str">
        <f>IF(OR($B18={"RH T-stuk"}),"Extension Onder Rechts",IF(OR($B18={"RH Verloop","RH-S Bocht en verloop","RH-S Bocht + vierkant-rond"}),"Offset Diepte",IF(OR($B18={"RH Bocht","RH-S Bocht en Verloop","RH Recht kanaal","RH-S Bocht 2x","RH Verloop","RH T-Stuk","RH Sprong","RH Aftakking","RH Vierkant-Rond","RH Deksel","RH Afgesch. Kanaal","RH Plenum","RH VP Raam","RH Vlakke Plaat","RH Flexibel",""}),"")))</f>
        <v>Offset Diepte</v>
      </c>
      <c r="R18" s="13"/>
      <c r="S18" s="13"/>
      <c r="T18" s="14"/>
      <c r="U18" s="14"/>
      <c r="V18" s="34" t="s">
        <v>43</v>
      </c>
      <c r="W18" s="34" t="s">
        <v>43</v>
      </c>
      <c r="X18" s="34" t="s">
        <v>43</v>
      </c>
      <c r="Y18" s="4" t="str">
        <f>IF(AND($B18="J",H18&lt;&gt;""),"Schets","")</f>
        <v/>
      </c>
      <c r="Z18" s="11">
        <f>IF(A18="","",1)</f>
        <v>1</v>
      </c>
      <c r="AB18" s="1"/>
    </row>
    <row r="19" spans="1:28" s="2" customFormat="1" ht="17.100000000000001" customHeight="1" x14ac:dyDescent="0.2">
      <c r="A19" s="24">
        <f>IF(AND($A18&lt;&gt;"",$B18&lt;&gt;""),$A18+1,"")</f>
        <v>11</v>
      </c>
      <c r="B19" s="38" t="s">
        <v>32</v>
      </c>
      <c r="C19" s="36">
        <f>IF(AND(A19&gt;0,A19&lt;&gt;""),1,"")</f>
        <v>1</v>
      </c>
      <c r="D19" s="35" t="str">
        <f>IF(OR($B19={"RH Recht kanaal","RH Sprong","RH Aftakking","RH Vierkant-Rond","RH-S Bocht 2x","RH-S Bocht en verloop","RH-S Bocht + vierkant-rond","RH Deksel","RH Afgesch. Kanaal","RH Plenum","RH VP Raam","RH Vlakke Plaat","RH Flexibel"}),"Breedte",IF(OR($B19={"RH T-Stuk","RH Bocht","RH Verloop"}),"Breedte Onder",IF(OR($B19={""}),"")))</f>
        <v>Breedte</v>
      </c>
      <c r="E19" s="35" t="str">
        <f>IF(OR($B19={"RH Recht kanaal","RH T-Stuk","RH Bocht","RH Sprong","RH Aftakking","RH Vierkant-Rond","RH-S Bocht 2x","RH-S Bocht en verloop","RH-S Bocht + vierkant-rond","RH Deksel","RH Afgesch. Kanaal","RH Plenum","RH VP Raam","RH Vlakke Plaat","RH Flexibel"}),"Diepte",IF(OR($B19={"RH Verloop"}),"Diepte Onder",IF(OR($B19={""}),"")))</f>
        <v>Diepte</v>
      </c>
      <c r="F19" s="20" t="str">
        <f>IF(OR($B19={"RH T-Stuk"}),"Breedte Links",IF(OR($B19={"RH Bocht";"RH Verloop"}),"Breedte Boven",IF(OR($B19={"RH-S Bocht 2x"}),"Breedte Linksonder",IF(OR($B19={"RH Afgesch. Kanaal"}),"Breedte schuine zijde",IF(OR($B19={"RH-S Bocht en Verloop","RH-S Bocht + vierkant-rond"}),"Breedte Bocht onder",IF(OR($B19={"RH Recht kanaal","RH Sprong","RH Aftakking","RH Vierkant-Rond","RH-S Bocht 2x","RH-S Bocht en Verloop","RH-S Bocht + Vierkant-rond","RH Deksel","RH Plenum","RH VP Raam","RH Vlakke Plaat","RH Flexibel",""}),""))))))</f>
        <v/>
      </c>
      <c r="G19" s="20" t="str">
        <f>IF(OR($B19={"RH T-Stuk"}),"Breedte Rechts",IF(OR($B19={"RH Verloop"}),"Diepte Boven",IF(OR($B19={"RH-S Bocht 2x"}),"Breedte Linksboven",IF(OR($B19={"RH-S Bocht en Verloop","RH-S Bocht + vierkant-rond"}),"Breedte Bocht Boven",IF(OR($B19={"RH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19" s="20" t="str">
        <f>IF(OR($B19={"RH-S Bocht 2x"}),"Breedte Rechtsboven",IF(OR($B19={"RH-S Bocht en Verloop"}),"Verloop Breedte Boven",IF(OR($B19={"RH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19" s="20" t="str">
        <f>IF(OR($B19={"RH-S Bocht en Verloop"}),"Verloop Diepte Boven",IF(OR($B19={"RH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19" s="20" t="str">
        <f>IF(OR($B19={"RH Bocht","RH Verloop","RH-S Bocht en Verloop","RH=S Bocht + Vierkant-rond","RH Sprong","RH Afgesch. Kanaal"}),"Graden",IF(OR($B19={"RH-S Bocht + vierkant-rond"}),"Graden Bocht",IF(OR($B19={"RH-S Bocht 2x"}),"Graden Links",IF(OR($B19={"RH Recht kanaal","RH Bocht","RH Verloop","RH T-Stuk","RH Sprong","RH Aftakking","RH Vierkant-Rond","RH Deksel","RH Afgesch. Kanaal","RH Plenum","RH VP Raam","RH Vlakke Plaat","RH Flexibel",""}),""))))</f>
        <v/>
      </c>
      <c r="K19" s="20" t="str">
        <f>IF(OR($B19={"RH-S Bocht + vierkant-rond"}),"Graden Verloop",IF(OR($B19={"RH-S Bocht 2x"}),"Graden Rechts",IF(OR($B19={"RH Recht kanaal","RH Bocht","RH Verloop","RH T-Stuk","RH Sprong","RH-S Bocht en Verloop","RH Aftakking","RH Vierkant-Rond","RH Deksel","RH Afgesch. Kanaal","RH Plenum","RH VP Raam","RH Vlakke Plaat","RH Flexibel",""}),"")))</f>
        <v/>
      </c>
      <c r="L19" s="20" t="str">
        <f>IF(OR($B19={"RH Bocht"}),"Radius",IF(OR($B19={"RH T-stuk","RH-S Bocht 2x"}),"Radius Links",IF(OR($B19={"RH-S Bocht en verloop","RH-S Bocht + Vierkant-Rond"}),"Radius Bocht",IF(OR($B19={"RH Recht kanaal","RH Bocht","RH Verloop","RH T-Stuk","RH Sprong","RH Aftakking","RH Vierkant-Rond","RH Deksel","RH Afgesch. Kanaal","RH Plenum","RH VP Raam","RH Vlakke Plaat","RH Flexibel",""}),""))))</f>
        <v/>
      </c>
      <c r="M19" s="20" t="str">
        <f>IF(OR($B19={"RH T-stuk","RH-S Bocht 2x"}),"Radius Rechts",IF(OR($B19={"RH-S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19" s="20" t="str">
        <f>IF(OR($B19={"RH T-stuk","RH Sprong"}),"Extension Links",IF(OR($B19={"RH Aftakking","RH Bocht","RH-S Bocht + vierkant-rond"}),"Extensie Boven",IF(OR($B19={"RH-S Bocht en Verloop"}),"Extensie Onder",IF(OR($B19={"RH-S Bocht en Verloop","RH Recht kanaal","RH-S Bocht 2x","RH Verloop","RH T-Stuk","RH Sprong","RH Aftakking","RH Vierkant-Rond","RH Deksel","RH Afgesch. Kanaal","RH Plenum","RH VP Raam","RH Vlakke Plaat","RH Flexibel",""}),""))))</f>
        <v/>
      </c>
      <c r="O19" s="20" t="str">
        <f>IF(OR($B19={"RH T-stuk"}),"Extension onder Links",IF(OR($B19={"RH Verloop","RH-S Bocht en verloop","RH-S Bocht + vierkant-rond"}),"Offset Breedte",IF(OR($B19={"RH-S Bocht en Verloop"}),"Extensie Onder",IF(OR($B19={"RH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19" s="20" t="str">
        <f>IF(OR($B19={"RH T-stuk","RH Sprong"}),"Extension Rechts",IF(OR($B19={"RH Bocht","RH-S Bocht + vierkant-rond"}),"Extensie Onder",IF(OR($B19={"RH-S Bocht en Verloop"}),"Extensie Bocht",IF(OR($B19={"RH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19" s="20" t="str">
        <f>IF(OR($B19={"RH T-stuk"}),"Extension Onder Rechts",IF(OR($B19={"RH Verloop","RH-S Bocht en verloop","RH-S Bocht + vierkant-rond"}),"Offset Diepte",IF(OR($B19={"RH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19" s="13"/>
      <c r="S19" s="13"/>
      <c r="T19" s="14"/>
      <c r="U19" s="14"/>
      <c r="V19" s="34" t="s">
        <v>43</v>
      </c>
      <c r="W19" s="3" t="str">
        <f>IF(AND($B19="V",$M19=0),"T",IF(OR($B19={"R","S","W","Q","V","P","J"}),"W",IF($B19="F","P","")))</f>
        <v/>
      </c>
      <c r="X19" s="3" t="str">
        <f>IF($B19="J","W","")</f>
        <v/>
      </c>
      <c r="Y19" s="4" t="str">
        <f>IF(AND($B19="J",H19&lt;&gt;""),"Schets","")</f>
        <v/>
      </c>
      <c r="Z19" s="11">
        <f>IF(A19="","",1)</f>
        <v>1</v>
      </c>
      <c r="AB19" s="1"/>
    </row>
    <row r="20" spans="1:28" s="2" customFormat="1" ht="17.100000000000001" customHeight="1" x14ac:dyDescent="0.2">
      <c r="A20" s="24">
        <f>IF(AND($A19&lt;&gt;"",$B19&lt;&gt;""),$A19+1,"")</f>
        <v>12</v>
      </c>
      <c r="B20" s="38" t="s">
        <v>33</v>
      </c>
      <c r="C20" s="36">
        <f>IF(AND(A20&gt;0,A20&lt;&gt;""),1,"")</f>
        <v>1</v>
      </c>
      <c r="D20" s="35" t="str">
        <f>IF(OR($B20={"RH Recht kanaal","RH Sprong","RH Aftakking","RH Vierkant-Rond","RH-S Bocht 2x","RH-S Bocht en verloop","RH-S Bocht + vierkant-rond","RH Deksel","RH Afgesch. Kanaal","RH Plenum","RH VP Raam","RH Vlakke Plaat","RH Flexibel"}),"Breedte",IF(OR($B20={"RH T-Stuk","RH Bocht","RH Verloop"}),"Breedte Onder",IF(OR($B20={""}),"")))</f>
        <v>Breedte</v>
      </c>
      <c r="E20" s="35" t="str">
        <f>IF(OR($B20={"RH Recht kanaal","RH T-Stuk","RH Bocht","RH Sprong","RH Aftakking","RH Vierkant-Rond","RH-S Bocht 2x","RH-S Bocht en verloop","RH-S Bocht + vierkant-rond","RH Deksel","RH Afgesch. Kanaal","RH Plenum","RH VP Raam","RH Vlakke Plaat","RH Flexibel"}),"Diepte",IF(OR($B20={"RH Verloop"}),"Diepte Onder",IF(OR($B20={""}),"")))</f>
        <v>Diepte</v>
      </c>
      <c r="F20" s="35" t="str">
        <f>IF(OR($B20={"RH T-Stuk"}),"Breedte Links",IF(OR($B20={"RH Bocht";"RH Verloop"}),"Breedte Boven",IF(OR($B20={"RH-S Bocht 2x"}),"Breedte Linksonder",IF(OR($B20={"RH Afgesch. Kanaal"}),"Breedte schuine zijde",IF(OR($B20={"RH-S Bocht en Verloop","RH-S Bocht + vierkant-rond"}),"Breedte Bocht onder",IF(OR($B20={"RH Recht kanaal","RH Sprong","RH Aftakking","RH Vierkant-Rond","RH-S Bocht 2x","RH-S Bocht en Verloop","RH-S Bocht + Vierkant-rond","RH Deksel","RH Plenum","RH VP Raam","RH Vlakke Plaat","RH Flexibel",""}),""))))))</f>
        <v>Breedte schuine zijde</v>
      </c>
      <c r="G20" s="20" t="str">
        <f>IF(OR($B20={"RH T-Stuk"}),"Breedte Rechts",IF(OR($B20={"RH Verloop"}),"Diepte Boven",IF(OR($B20={"RH-S Bocht 2x"}),"Breedte Linksboven",IF(OR($B20={"RH-S Bocht en Verloop","RH-S Bocht + vierkant-rond"}),"Breedte Bocht Boven",IF(OR($B20={"RH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20" s="20" t="str">
        <f>IF(OR($B20={"RH-S Bocht 2x"}),"Breedte Rechtsboven",IF(OR($B20={"RH-S Bocht en Verloop"}),"Verloop Breedte Boven",IF(OR($B20={"RH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20" s="20" t="str">
        <f>IF(OR($B20={"RH-S Bocht en Verloop"}),"Verloop Diepte Boven",IF(OR($B20={"RH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20" s="35" t="str">
        <f>IF(OR($B20={"RH Bocht","RH Verloop","RH-S Bocht en Verloop","RH=S Bocht + Vierkant-rond","RH Sprong","RH Afgesch. Kanaal"}),"Graden",IF(OR($B20={"RH-S Bocht + vierkant-rond"}),"Graden Bocht",IF(OR($B20={"RH-S Bocht 2x"}),"Graden Links",IF(OR($B20={"RH Recht kanaal","RH Bocht","RH Verloop","RH T-Stuk","RH Sprong","RH Aftakking","RH Vierkant-Rond","RH Deksel","RH Afgesch. Kanaal","RH Plenum","RH VP Raam","RH Vlakke Plaat","RH Flexibel",""}),""))))</f>
        <v>Graden</v>
      </c>
      <c r="K20" s="20" t="str">
        <f>IF(OR($B20={"RH-S Bocht + vierkant-rond"}),"Graden Verloop",IF(OR($B20={"RH-S Bocht 2x"}),"Graden Rechts",IF(OR($B20={"RH Recht kanaal","RH Bocht","RH Verloop","RH T-Stuk","RH Sprong","RH-S Bocht en Verloop","RH Aftakking","RH Vierkant-Rond","RH Deksel","RH Afgesch. Kanaal","RH Plenum","RH VP Raam","RH Vlakke Plaat","RH Flexibel",""}),"")))</f>
        <v/>
      </c>
      <c r="L20" s="20" t="str">
        <f>IF(OR($B20={"RH Bocht"}),"Radius",IF(OR($B20={"RH T-stuk","RH-S Bocht 2x"}),"Radius Links",IF(OR($B20={"RH-S Bocht en verloop","RH-S Bocht + Vierkant-Rond"}),"Radius Bocht",IF(OR($B20={"RH Recht kanaal","RH Bocht","RH Verloop","RH T-Stuk","RH Sprong","RH Aftakking","RH Vierkant-Rond","RH Deksel","RH Afgesch. Kanaal","RH Plenum","RH VP Raam","RH Vlakke Plaat","RH Flexibel",""}),""))))</f>
        <v/>
      </c>
      <c r="M20" s="20" t="str">
        <f>IF(OR($B20={"RH T-stuk","RH-S Bocht 2x"}),"Radius Rechts",IF(OR($B20={"RH-S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20" s="20" t="str">
        <f>IF(OR($B20={"RH T-stuk","RH Sprong"}),"Extension Links",IF(OR($B20={"RH Aftakking","RH Bocht","RH-S Bocht + vierkant-rond"}),"Extensie Boven",IF(OR($B20={"RH-S Bocht en Verloop"}),"Extensie Onder",IF(OR($B20={"RH-S Bocht en Verloop","RH Recht kanaal","RH-S Bocht 2x","RH Verloop","RH T-Stuk","RH Sprong","RH Aftakking","RH Vierkant-Rond","RH Deksel","RH Afgesch. Kanaal","RH Plenum","RH VP Raam","RH Vlakke Plaat","RH Flexibel",""}),""))))</f>
        <v/>
      </c>
      <c r="O20" s="20" t="str">
        <f>IF(OR($B20={"RH T-stuk"}),"Extension onder Links",IF(OR($B20={"RH Verloop","RH-S Bocht en verloop","RH-S Bocht + vierkant-rond"}),"Offset Breedte",IF(OR($B20={"RH-S Bocht en Verloop"}),"Extensie Onder",IF(OR($B20={"RH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20" s="20" t="str">
        <f>IF(OR($B20={"RH T-stuk","RH Sprong"}),"Extension Rechts",IF(OR($B20={"RH Bocht","RH-S Bocht + vierkant-rond"}),"Extensie Onder",IF(OR($B20={"RH-S Bocht en Verloop"}),"Extensie Bocht",IF(OR($B20={"RH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20" s="20" t="str">
        <f>IF(OR($B20={"RH T-stuk"}),"Extension Onder Rechts",IF(OR($B20={"RH Verloop","RH-S Bocht en verloop","RH-S Bocht + vierkant-rond"}),"Offset Diepte",IF(OR($B20={"RH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20" s="13"/>
      <c r="S20" s="13"/>
      <c r="T20" s="14"/>
      <c r="U20" s="14"/>
      <c r="V20" s="34" t="s">
        <v>43</v>
      </c>
      <c r="W20" s="3" t="str">
        <f>IF(AND($B20="V",$M20=0),"T",IF(OR($B20={"R","S","W","Q","V","P","J"}),"W",IF($B20="F","P","")))</f>
        <v/>
      </c>
      <c r="X20" s="3" t="str">
        <f>IF($B20="J","W","")</f>
        <v/>
      </c>
      <c r="Y20" s="4" t="str">
        <f>IF(AND($B20="J",H20&lt;&gt;""),"Schets","")</f>
        <v/>
      </c>
      <c r="Z20" s="11">
        <f>IF(A20="","",1)</f>
        <v>1</v>
      </c>
      <c r="AB20" s="1"/>
    </row>
    <row r="21" spans="1:28" s="2" customFormat="1" ht="17.100000000000001" customHeight="1" x14ac:dyDescent="0.2">
      <c r="A21" s="24">
        <f>IF(AND($A20&lt;&gt;"",$B20&lt;&gt;""),$A20+1,"")</f>
        <v>13</v>
      </c>
      <c r="B21" s="38" t="s">
        <v>35</v>
      </c>
      <c r="C21" s="36">
        <v>1</v>
      </c>
      <c r="D21" s="35" t="str">
        <f>IF(OR($B21={"RH Recht kanaal","RH Sprong","RH Aftakking","RH Vierkant-Rond","RH-S Bocht 2x","RH-S Bocht en verloop","RH-S Bocht + vierkant-rond","RH Deksel","RH Afgesch. Kanaal","RH Plenum","RH VP Raam","RH Vlakke Plaat","RH Flexibel"}),"Breedte",IF(OR($B21={"RH T-Stuk","RH Bocht","RH Verloop"}),"Breedte Onder",IF(OR($B21={""}),"")))</f>
        <v>Breedte</v>
      </c>
      <c r="E21" s="35" t="str">
        <f>IF(OR($B21={"RH Recht kanaal","RH T-Stuk","RH Bocht","RH Sprong","RH Aftakking","RH Vierkant-Rond","RH-S Bocht 2x","RH-S Bocht en verloop","RH-S Bocht + vierkant-rond","RH Deksel","RH Afgesch. Kanaal","RH Plenum","RH VP Raam","RH Vlakke Plaat","RH Flexibel"}),"Diepte",IF(OR($B21={"RH Verloop"}),"Diepte Onder",IF(OR($B21={""}),"")))</f>
        <v>Diepte</v>
      </c>
      <c r="F21" s="20" t="str">
        <f>IF(OR($B21={"RH T-Stuk"}),"Breedte Links",IF(OR($B21={"RH Bocht";"RH Verloop"}),"Breedte Boven",IF(OR($B21={"RH-S Bocht 2x"}),"Breedte Linksonder",IF(OR($B21={"RH Afgesch. Kanaal"}),"Breedte schuine zijde",IF(OR($B21={"RH-S Bocht en Verloop","RH-S Bocht + vierkant-rond"}),"Breedte Bocht onder",IF(OR($B21={"RH Recht kanaal","RH Sprong","RH Aftakking","RH Vierkant-Rond","RH-S Bocht 2x","RH-S Bocht en Verloop","RH-S Bocht + Vierkant-rond","RH Deksel","RH Plenum","RH VP Raam","RH Vlakke Plaat","RH Flexibel",""}),""))))))</f>
        <v/>
      </c>
      <c r="G21" s="20" t="str">
        <f>IF(OR($B21={"RH T-Stuk"}),"Breedte Rechts",IF(OR($B21={"RH Verloop"}),"Diepte Boven",IF(OR($B21={"RH-S Bocht 2x"}),"Breedte Linksboven",IF(OR($B21={"RH-S Bocht en Verloop","RH-S Bocht + vierkant-rond"}),"Breedte Bocht Boven",IF(OR($B21={"RH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21" s="20" t="str">
        <f>IF(OR($B21={"RH-S Bocht 2x"}),"Breedte Rechtsboven",IF(OR($B21={"RH-S Bocht en Verloop"}),"Verloop Breedte Boven",IF(OR($B21={"RH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21" s="20" t="str">
        <f>IF(OR($B21={"RH-S Bocht en Verloop"}),"Verloop Diepte Boven",IF(OR($B21={"RH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21" s="20" t="str">
        <f>IF(OR($B21={"RH Bocht","RH Verloop","RH-S Bocht en Verloop","RH=S Bocht + Vierkant-rond","RH Sprong","RH Afgesch. Kanaal"}),"Graden",IF(OR($B21={"RH-S Bocht + vierkant-rond"}),"Graden Bocht",IF(OR($B21={"RH-S Bocht 2x"}),"Graden Links",IF(OR($B21={"RH Recht kanaal","RH Bocht","RH Verloop","RH T-Stuk","RH Sprong","RH Aftakking","RH Vierkant-Rond","RH Deksel","RH Afgesch. Kanaal","RH Plenum","RH VP Raam","RH Vlakke Plaat","RH Flexibel",""}),""))))</f>
        <v/>
      </c>
      <c r="K21" s="20" t="str">
        <f>IF(OR($B21={"RH-S Bocht + vierkant-rond"}),"Graden Verloop",IF(OR($B21={"RH-S Bocht 2x"}),"Graden Rechts",IF(OR($B21={"RH Recht kanaal","RH Bocht","RH Verloop","RH T-Stuk","RH Sprong","RH-S Bocht en Verloop","RH Aftakking","RH Vierkant-Rond","RH Deksel","RH Afgesch. Kanaal","RH Plenum","RH VP Raam","RH Vlakke Plaat","RH Flexibel",""}),"")))</f>
        <v/>
      </c>
      <c r="L21" s="20" t="str">
        <f>IF(OR($B21={"RH Bocht"}),"Radius",IF(OR($B21={"RH T-stuk","RH-S Bocht 2x"}),"Radius Links",IF(OR($B21={"RH-S Bocht en verloop","RH-S Bocht + Vierkant-Rond"}),"Radius Bocht",IF(OR($B21={"RH Recht kanaal","RH Bocht","RH Verloop","RH T-Stuk","RH Sprong","RH Aftakking","RH Vierkant-Rond","RH Deksel","RH Afgesch. Kanaal","RH Plenum","RH VP Raam","RH Vlakke Plaat","RH Flexibel",""}),""))))</f>
        <v/>
      </c>
      <c r="M21" s="20" t="str">
        <f>IF(OR($B21={"RH T-stuk","RH-S Bocht 2x"}),"Radius Rechts",IF(OR($B21={"RH-S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21" s="20" t="str">
        <f>IF(OR($B21={"RH T-stuk","RH Sprong"}),"Extension Links",IF(OR($B21={"RH Aftakking","RH Bocht","RH-S Bocht + vierkant-rond"}),"Extensie Boven",IF(OR($B21={"RH-S Bocht en Verloop"}),"Extensie Onder",IF(OR($B21={"RH-S Bocht en Verloop","RH Recht kanaal","RH-S Bocht 2x","RH Verloop","RH T-Stuk","RH Sprong","RH Aftakking","RH Vierkant-Rond","RH Deksel","RH Afgesch. Kanaal","RH Plenum","RH VP Raam","RH Vlakke Plaat","RH Flexibel",""}),""))))</f>
        <v/>
      </c>
      <c r="O21" s="20" t="str">
        <f>IF(OR($B21={"RH T-stuk"}),"Extension onder Links",IF(OR($B21={"RH Verloop","RH-S Bocht en verloop","RH-S Bocht + vierkant-rond"}),"Offset Breedte",IF(OR($B21={"RH-S Bocht en Verloop"}),"Extensie Onder",IF(OR($B21={"RH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21" s="20" t="str">
        <f>IF(OR($B21={"RH T-stuk","RH Sprong"}),"Extension Rechts",IF(OR($B21={"RH Bocht","RH-S Bocht + vierkant-rond"}),"Extensie Onder",IF(OR($B21={"RH-S Bocht en Verloop"}),"Extensie Bocht",IF(OR($B21={"RH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21" s="20" t="str">
        <f>IF(OR($B21={"RH T-stuk"}),"Extension Onder Rechts",IF(OR($B21={"RH Verloop","RH-S Bocht en verloop","RH-S Bocht + vierkant-rond"}),"Offset Diepte",IF(OR($B21={"RH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21" s="13"/>
      <c r="S21" s="13"/>
      <c r="T21" s="14"/>
      <c r="U21" s="14"/>
      <c r="V21" s="3"/>
      <c r="W21" s="3"/>
      <c r="X21" s="3"/>
      <c r="Y21" s="4" t="str">
        <f>IF(AND($B21="J",H21&lt;&gt;""),"Schets","")</f>
        <v/>
      </c>
      <c r="Z21" s="11">
        <f>IF(A21="","",1)</f>
        <v>1</v>
      </c>
      <c r="AB21" s="1"/>
    </row>
    <row r="22" spans="1:28" s="2" customFormat="1" ht="17.100000000000001" customHeight="1" x14ac:dyDescent="0.2">
      <c r="A22" s="24">
        <f>IF(AND($A21&lt;&gt;"",$B21&lt;&gt;""),$A21+1,"")</f>
        <v>14</v>
      </c>
      <c r="B22" s="38" t="s">
        <v>36</v>
      </c>
      <c r="C22" s="36">
        <v>1</v>
      </c>
      <c r="D22" s="35" t="str">
        <f>IF(OR($B22={"RH Recht kanaal","RH Sprong","RH Aftakking","RH Vierkant-Rond","RH-S Bocht 2x","RH-S Bocht en verloop","RH-S Bocht + vierkant-rond","RH Deksel","RH Afgesch. Kanaal","RH Plenum","RH VP Raam","RH Vlakke Plaat","RH Flexibel"}),"Breedte",IF(OR($B22={"RH T-Stuk","RH Bocht","RH Verloop"}),"Breedte Onder",IF(OR($B22={""}),"")))</f>
        <v>Breedte</v>
      </c>
      <c r="E22" s="35" t="str">
        <f>IF(OR($B22={"RH Recht kanaal","RH T-Stuk","RH Bocht","RH Sprong","RH Aftakking","RH Vierkant-Rond","RH-S Bocht 2x","RH-S Bocht en verloop","RH-S Bocht + vierkant-rond","RH Deksel","RH Afgesch. Kanaal","RH Plenum","RH VP Raam","RH Vlakke Plaat","RH Flexibel"}),"Diepte",IF(OR($B22={"RH Verloop"}),"Diepte Onder",IF(OR($B22={""}),"")))</f>
        <v>Diepte</v>
      </c>
      <c r="F22" s="20" t="str">
        <f>IF(OR($B22={"RH T-Stuk"}),"Breedte Links",IF(OR($B22={"RH Bocht";"RH Verloop"}),"Breedte Boven",IF(OR($B22={"RH-S Bocht 2x"}),"Breedte Linksonder",IF(OR($B22={"RH Afgesch. Kanaal"}),"Breedte schuine zijde",IF(OR($B22={"RH-S Bocht en Verloop","RH-S Bocht + vierkant-rond"}),"Breedte Bocht onder",IF(OR($B22={"RH Recht kanaal","RH Sprong","RH Aftakking","RH Vierkant-Rond","RH-S Bocht 2x","RH-S Bocht en Verloop","RH-S Bocht + Vierkant-rond","RH Deksel","RH Plenum","RH VP Raam","RH Vlakke Plaat","RH Flexibel",""}),""))))))</f>
        <v/>
      </c>
      <c r="G22" s="20" t="str">
        <f>IF(OR($B22={"RH T-Stuk"}),"Breedte Rechts",IF(OR($B22={"RH Verloop"}),"Diepte Boven",IF(OR($B22={"RH-S Bocht 2x"}),"Breedte Linksboven",IF(OR($B22={"RH-S Bocht en Verloop","RH-S Bocht + vierkant-rond"}),"Breedte Bocht Boven",IF(OR($B22={"RH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22" s="20" t="str">
        <f>IF(OR($B22={"RH-S Bocht 2x"}),"Breedte Rechtsboven",IF(OR($B22={"RH-S Bocht en Verloop"}),"Verloop Breedte Boven",IF(OR($B22={"RH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22" s="20" t="str">
        <f>IF(OR($B22={"RH-S Bocht en Verloop"}),"Verloop Diepte Boven",IF(OR($B22={"RH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22" s="20" t="str">
        <f>IF(OR($B22={"RH Bocht","RH Verloop","RH-S Bocht en Verloop","RH=S Bocht + Vierkant-rond","RH Sprong","RH Afgesch. Kanaal"}),"Graden",IF(OR($B22={"RH-S Bocht + vierkant-rond"}),"Graden Bocht",IF(OR($B22={"RH-S Bocht 2x"}),"Graden Links",IF(OR($B22={"RH Recht kanaal","RH Bocht","RH Verloop","RH T-Stuk","RH Sprong","RH Aftakking","RH Vierkant-Rond","RH Deksel","RH Afgesch. Kanaal","RH Plenum","RH VP Raam","RH Vlakke Plaat","RH Flexibel",""}),""))))</f>
        <v/>
      </c>
      <c r="K22" s="20" t="str">
        <f>IF(OR($B22={"RH-S Bocht + vierkant-rond"}),"Graden Verloop",IF(OR($B22={"RH-S Bocht 2x"}),"Graden Rechts",IF(OR($B22={"RH Recht kanaal","RH Bocht","RH Verloop","RH T-Stuk","RH Sprong","RH-S Bocht en Verloop","RH Aftakking","RH Vierkant-Rond","RH Deksel","RH Afgesch. Kanaal","RH Plenum","RH VP Raam","RH Vlakke Plaat","RH Flexibel",""}),"")))</f>
        <v/>
      </c>
      <c r="L22" s="20" t="str">
        <f>IF(OR($B22={"RH Bocht"}),"Radius",IF(OR($B22={"RH T-stuk","RH-S Bocht 2x"}),"Radius Links",IF(OR($B22={"RH-S Bocht en verloop","RH-S Bocht + Vierkant-Rond"}),"Radius Bocht",IF(OR($B22={"RH Recht kanaal","RH Bocht","RH Verloop","RH T-Stuk","RH Sprong","RH Aftakking","RH Vierkant-Rond","RH Deksel","RH Afgesch. Kanaal","RH Plenum","RH VP Raam","RH Vlakke Plaat","RH Flexibel",""}),""))))</f>
        <v/>
      </c>
      <c r="M22" s="20" t="str">
        <f>IF(OR($B22={"RH T-stuk","RH-S Bocht 2x"}),"Radius Rechts",IF(OR($B22={"RH-S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22" s="20" t="str">
        <f>IF(OR($B22={"RH T-stuk","RH Sprong"}),"Extension Links",IF(OR($B22={"RH Aftakking","RH Bocht","RH-S Bocht + vierkant-rond"}),"Extensie Boven",IF(OR($B22={"RH-S Bocht en Verloop"}),"Extensie Onder",IF(OR($B22={"RH-S Bocht en Verloop","RH Recht kanaal","RH-S Bocht 2x","RH Verloop","RH T-Stuk","RH Sprong","RH Aftakking","RH Vierkant-Rond","RH Deksel","RH Afgesch. Kanaal","RH Plenum","RH VP Raam","RH Vlakke Plaat","RH Flexibel",""}),""))))</f>
        <v/>
      </c>
      <c r="O22" s="20" t="str">
        <f>IF(OR($B22={"RH T-stuk"}),"Extension onder Links",IF(OR($B22={"RH Verloop","RH-S Bocht en verloop","RH-S Bocht + vierkant-rond"}),"Offset Breedte",IF(OR($B22={"RH-S Bocht en Verloop"}),"Extensie Onder",IF(OR($B22={"RH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22" s="20" t="str">
        <f>IF(OR($B22={"RH T-stuk","RH Sprong"}),"Extension Rechts",IF(OR($B22={"RH Bocht","RH-S Bocht + vierkant-rond"}),"Extensie Onder",IF(OR($B22={"RH-S Bocht en Verloop"}),"Extensie Bocht",IF(OR($B22={"RH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22" s="20" t="str">
        <f>IF(OR($B22={"RH T-stuk"}),"Extension Onder Rechts",IF(OR($B22={"RH Verloop","RH-S Bocht en verloop","RH-S Bocht + vierkant-rond"}),"Offset Diepte",IF(OR($B22={"RH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22" s="13"/>
      <c r="S22" s="13"/>
      <c r="T22" s="14"/>
      <c r="U22" s="14"/>
      <c r="V22" s="34" t="s">
        <v>46</v>
      </c>
      <c r="W22" s="3" t="str">
        <f>IF(AND($B22="V",$M22=0),"T",IF(OR($B22={"R","S","W","Q","V","P","J"}),"W",IF($B22="F","P","")))</f>
        <v/>
      </c>
      <c r="X22" s="3" t="str">
        <f>IF($B22="J","W","")</f>
        <v/>
      </c>
      <c r="Y22" s="4" t="str">
        <f>IF(AND($B22="J",H22&lt;&gt;""),"Schets","")</f>
        <v/>
      </c>
      <c r="Z22" s="11">
        <f>IF(A22="","",1)</f>
        <v>1</v>
      </c>
      <c r="AB22" s="1"/>
    </row>
    <row r="23" spans="1:28" s="2" customFormat="1" ht="17.100000000000001" customHeight="1" x14ac:dyDescent="0.2">
      <c r="A23" s="24">
        <f>IF(AND($A22&lt;&gt;"",$B22&lt;&gt;""),$A22+1,"")</f>
        <v>15</v>
      </c>
      <c r="B23" s="38" t="s">
        <v>37</v>
      </c>
      <c r="C23" s="36">
        <f>IF(AND(A23&gt;0,A23&lt;&gt;""),1,"")</f>
        <v>1</v>
      </c>
      <c r="D23" s="35" t="str">
        <f>IF(OR($B23={"RH Recht kanaal","RH Sprong","RH Aftakking","RH Vierkant-Rond","RH-S Bocht 2x","RH-S Bocht en verloop","RH-S Bocht + vierkant-rond","RH Deksel","RH Afgesch. Kanaal","RH Plenum","RH VP Raam","RH Vlakke Plaat","RH Flexibel"}),"Breedte",IF(OR($B23={"RH T-Stuk","RH Bocht","RH Verloop"}),"Breedte Onder",IF(OR($B23={""}),"")))</f>
        <v>Breedte</v>
      </c>
      <c r="E23" s="35" t="str">
        <f>IF(OR($B23={"RH Recht kanaal","RH T-Stuk","RH Bocht","RH Sprong","RH Aftakking","RH Vierkant-Rond","RH-S Bocht 2x","RH-S Bocht en verloop","RH-S Bocht + vierkant-rond","RH Deksel","RH Afgesch. Kanaal","RH Plenum","RH VP Raam","RH Vlakke Plaat","RH Flexibel"}),"Diepte",IF(OR($B23={"RH Verloop"}),"Diepte Onder",IF(OR($B23={""}),"")))</f>
        <v>Diepte</v>
      </c>
      <c r="F23" s="20" t="str">
        <f>IF(OR($B23={"RH T-Stuk"}),"Breedte Links",IF(OR($B23={"RH Bocht";"RH Verloop"}),"Breedte Boven",IF(OR($B23={"RH-S Bocht 2x"}),"Breedte Linksonder",IF(OR($B23={"RH Afgesch. Kanaal"}),"Breedte schuine zijde",IF(OR($B23={"RH-S Bocht en Verloop","RH-S Bocht + vierkant-rond"}),"Breedte Bocht onder",IF(OR($B23={"RH Recht kanaal","RH Sprong","RH Aftakking","RH Vierkant-Rond","RH-S Bocht 2x","RH-S Bocht en Verloop","RH-S Bocht + Vierkant-rond","RH Deksel","RH Plenum","RH VP Raam","RH Vlakke Plaat","RH Flexibel",""}),""))))))</f>
        <v/>
      </c>
      <c r="G23" s="20" t="str">
        <f>IF(OR($B23={"RH T-Stuk"}),"Breedte Rechts",IF(OR($B23={"RH Verloop"}),"Diepte Boven",IF(OR($B23={"RH-S Bocht 2x"}),"Breedte Linksboven",IF(OR($B23={"RH-S Bocht en Verloop","RH-S Bocht + vierkant-rond"}),"Breedte Bocht Boven",IF(OR($B23={"RH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23" s="20" t="str">
        <f>IF(OR($B23={"RH-S Bocht 2x"}),"Breedte Rechtsboven",IF(OR($B23={"RH-S Bocht en Verloop"}),"Verloop Breedte Boven",IF(OR($B23={"RH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23" s="20" t="str">
        <f>IF(OR($B23={"RH-S Bocht en Verloop"}),"Verloop Diepte Boven",IF(OR($B23={"RH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23" s="20" t="str">
        <f>IF(OR($B23={"RH Bocht","RH Verloop","RH-S Bocht en Verloop","RH=S Bocht + Vierkant-rond","RH Sprong","RH Afgesch. Kanaal"}),"Graden",IF(OR($B23={"RH-S Bocht + vierkant-rond"}),"Graden Bocht",IF(OR($B23={"RH-S Bocht 2x"}),"Graden Links",IF(OR($B23={"RH Recht kanaal","RH Bocht","RH Verloop","RH T-Stuk","RH Sprong","RH Aftakking","RH Vierkant-Rond","RH Deksel","RH Afgesch. Kanaal","RH Plenum","RH VP Raam","RH Vlakke Plaat","RH Flexibel",""}),""))))</f>
        <v/>
      </c>
      <c r="K23" s="20" t="str">
        <f>IF(OR($B23={"RH-S Bocht + vierkant-rond"}),"Graden Verloop",IF(OR($B23={"RH-S Bocht 2x"}),"Graden Rechts",IF(OR($B23={"RH Recht kanaal","RH Bocht","RH Verloop","RH T-Stuk","RH Sprong","RH-S Bocht en Verloop","RH Aftakking","RH Vierkant-Rond","RH Deksel","RH Afgesch. Kanaal","RH Plenum","RH VP Raam","RH Vlakke Plaat","RH Flexibel",""}),"")))</f>
        <v/>
      </c>
      <c r="L23" s="20" t="str">
        <f>IF(OR($B23={"RH Bocht"}),"Radius",IF(OR($B23={"RH T-stuk","RH-S Bocht 2x"}),"Radius Links",IF(OR($B23={"RH-S Bocht en verloop","RH-S Bocht + Vierkant-Rond"}),"Radius Bocht",IF(OR($B23={"RH Recht kanaal","RH Bocht","RH Verloop","RH T-Stuk","RH Sprong","RH Aftakking","RH Vierkant-Rond","RH Deksel","RH Afgesch. Kanaal","RH Plenum","RH VP Raam","RH Vlakke Plaat","RH Flexibel",""}),""))))</f>
        <v/>
      </c>
      <c r="M23" s="20" t="str">
        <f>IF(OR($B23={"RH T-stuk","RH-S Bocht 2x"}),"Radius Rechts",IF(OR($B23={"RH-S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23" s="20" t="str">
        <f>IF(OR($B23={"RH T-stuk","RH Sprong"}),"Extension Links",IF(OR($B23={"RH Aftakking","RH Bocht","RH-S Bocht + vierkant-rond"}),"Extensie Boven",IF(OR($B23={"RH-S Bocht en Verloop"}),"Extensie Onder",IF(OR($B23={"RH-S Bocht en Verloop","RH Recht kanaal","RH-S Bocht 2x","RH Verloop","RH T-Stuk","RH Sprong","RH Aftakking","RH Vierkant-Rond","RH Deksel","RH Afgesch. Kanaal","RH Plenum","RH VP Raam","RH Vlakke Plaat","RH Flexibel",""}),""))))</f>
        <v/>
      </c>
      <c r="O23" s="20" t="str">
        <f>IF(OR($B23={"RH T-stuk"}),"Extension onder Links",IF(OR($B23={"RH Verloop","RH-S Bocht en verloop","RH-S Bocht + vierkant-rond"}),"Offset Breedte",IF(OR($B23={"RH-S Bocht en Verloop"}),"Extensie Onder",IF(OR($B23={"RH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23" s="20" t="str">
        <f>IF(OR($B23={"RH T-stuk","RH Sprong"}),"Extension Rechts",IF(OR($B23={"RH Bocht","RH-S Bocht + vierkant-rond"}),"Extensie Onder",IF(OR($B23={"RH-S Bocht en Verloop"}),"Extensie Bocht",IF(OR($B23={"RH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23" s="20" t="str">
        <f>IF(OR($B23={"RH T-stuk"}),"Extension Onder Rechts",IF(OR($B23={"RH Verloop","RH-S Bocht en verloop","RH-S Bocht + vierkant-rond"}),"Offset Diepte",IF(OR($B23={"RH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23" s="13"/>
      <c r="S23" s="13"/>
      <c r="T23" s="14"/>
      <c r="U23" s="14"/>
      <c r="V23" s="3"/>
      <c r="W23" s="3"/>
      <c r="X23" s="3"/>
      <c r="Y23" s="4" t="str">
        <f>IF(AND($B23="J",H23&lt;&gt;""),"Schets","")</f>
        <v/>
      </c>
      <c r="Z23" s="11">
        <f>IF(A23="","",1)</f>
        <v>1</v>
      </c>
      <c r="AB23" s="1"/>
    </row>
    <row r="24" spans="1:28" s="17" customFormat="1" ht="17.100000000000001" customHeight="1" x14ac:dyDescent="0.2">
      <c r="A24" s="24">
        <f>IF(AND($A23&lt;&gt;"",$B23&lt;&gt;""),$A23+1,"")</f>
        <v>16</v>
      </c>
      <c r="B24" s="38" t="s">
        <v>38</v>
      </c>
      <c r="C24" s="37">
        <f>IF(AND(A24&gt;0,A24&lt;&gt;""),1,"")</f>
        <v>1</v>
      </c>
      <c r="D24" s="35" t="str">
        <f>IF(OR($B24={"RH Recht kanaal","RH Sprong","RH Aftakking","RH Vierkant-Rond","RH-S Bocht 2x","RH-S Bocht en verloop","RH-S Bocht + vierkant-rond","RH Deksel","RH Afgesch. Kanaal","RH Plenum","RH VP Raam","RH Vlakke Plaat","RH Flexibel"}),"Breedte",IF(OR($B24={"RH T-Stuk","RH Bocht","RH Verloop"}),"Breedte Onder",IF(OR($B24={""}),"")))</f>
        <v>Breedte</v>
      </c>
      <c r="E24" s="35" t="str">
        <f>IF(OR($B24={"RH Recht kanaal","RH T-Stuk","RH Bocht","RH Sprong","RH Aftakking","RH Vierkant-Rond","RH-S Bocht 2x","RH-S Bocht en verloop","RH-S Bocht + vierkant-rond","RH Deksel","RH Afgesch. Kanaal","RH Plenum","RH VP Raam","RH Vlakke Plaat","RH Flexibel"}),"Diepte",IF(OR($B24={"RH Verloop"}),"Diepte Onder",IF(OR($B24={""}),"")))</f>
        <v>Diepte</v>
      </c>
      <c r="F24" s="20" t="str">
        <f>IF(OR($B24={"RH T-Stuk"}),"Breedte Links",IF(OR($B24={"RH Bocht";"RH Verloop"}),"Breedte Boven",IF(OR($B24={"RH-S Bocht 2x"}),"Breedte Linksonder",IF(OR($B24={"RH Afgesch. Kanaal"}),"Breedte schuine zijde",IF(OR($B24={"RH-S Bocht en Verloop","RH-S Bocht + vierkant-rond"}),"Breedte Bocht onder",IF(OR($B24={"RH Recht kanaal","RH Sprong","RH Aftakking","RH Vierkant-Rond","RH-S Bocht 2x","RH-S Bocht en Verloop","RH-S Bocht + Vierkant-rond","RH Deksel","RH Plenum","RH VP Raam","RH Vlakke Plaat","RH Flexibel",""}),""))))))</f>
        <v/>
      </c>
      <c r="G24" s="20" t="str">
        <f>IF(OR($B24={"RH T-Stuk"}),"Breedte Rechts",IF(OR($B24={"RH Verloop"}),"Diepte Boven",IF(OR($B24={"RH-S Bocht 2x"}),"Breedte Linksboven",IF(OR($B24={"RH-S Bocht en Verloop","RH-S Bocht + vierkant-rond"}),"Breedte Bocht Boven",IF(OR($B24={"RH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24" s="20" t="str">
        <f>IF(OR($B24={"RH-S Bocht 2x"}),"Breedte Rechtsboven",IF(OR($B24={"RH-S Bocht en Verloop"}),"Verloop Breedte Boven",IF(OR($B24={"RH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24" s="20" t="str">
        <f>IF(OR($B24={"RH-S Bocht en Verloop"}),"Verloop Diepte Boven",IF(OR($B24={"RH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24" s="20" t="str">
        <f>IF(OR($B24={"RH Bocht","RH Verloop","RH-S Bocht en Verloop","RH=S Bocht + Vierkant-rond","RH Sprong","RH Afgesch. Kanaal"}),"Graden",IF(OR($B24={"RH-S Bocht + vierkant-rond"}),"Graden Bocht",IF(OR($B24={"RH-S Bocht 2x"}),"Graden Links",IF(OR($B24={"RH Recht kanaal","RH Bocht","RH Verloop","RH T-Stuk","RH Sprong","RH Aftakking","RH Vierkant-Rond","RH Deksel","RH Afgesch. Kanaal","RH Plenum","RH VP Raam","RH Vlakke Plaat","RH Flexibel",""}),""))))</f>
        <v/>
      </c>
      <c r="K24" s="20" t="str">
        <f>IF(OR($B24={"RH-S Bocht + vierkant-rond"}),"Graden Verloop",IF(OR($B24={"RH-S Bocht 2x"}),"Graden Rechts",IF(OR($B24={"RH Recht kanaal","RH Bocht","RH Verloop","RH T-Stuk","RH Sprong","RH-S Bocht en Verloop","RH Aftakking","RH Vierkant-Rond","RH Deksel","RH Afgesch. Kanaal","RH Plenum","RH VP Raam","RH Vlakke Plaat","RH Flexibel",""}),"")))</f>
        <v/>
      </c>
      <c r="L24" s="20" t="str">
        <f>IF(OR($B24={"RH Bocht"}),"Radius",IF(OR($B24={"RH T-stuk","RH-S Bocht 2x"}),"Radius Links",IF(OR($B24={"RH-S Bocht en verloop","RH-S Bocht + Vierkant-Rond"}),"Radius Bocht",IF(OR($B24={"RH Recht kanaal","RH Bocht","RH Verloop","RH T-Stuk","RH Sprong","RH Aftakking","RH Vierkant-Rond","RH Deksel","RH Afgesch. Kanaal","RH Plenum","RH VP Raam","RH Vlakke Plaat","RH Flexibel",""}),""))))</f>
        <v/>
      </c>
      <c r="M24" s="20" t="str">
        <f>IF(OR($B24={"RH T-stuk","RH-S Bocht 2x"}),"Radius Rechts",IF(OR($B24={"RH-S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24" s="20" t="str">
        <f>IF(OR($B24={"RH T-stuk","RH Sprong"}),"Extension Links",IF(OR($B24={"RH Aftakking","RH Bocht","RH-S Bocht + vierkant-rond"}),"Extensie Boven",IF(OR($B24={"RH-S Bocht en Verloop"}),"Extensie Onder",IF(OR($B24={"RH-S Bocht en Verloop","RH Recht kanaal","RH-S Bocht 2x","RH Verloop","RH T-Stuk","RH Sprong","RH Aftakking","RH Vierkant-Rond","RH Deksel","RH Afgesch. Kanaal","RH Plenum","RH VP Raam","RH Vlakke Plaat","RH Flexibel",""}),""))))</f>
        <v/>
      </c>
      <c r="O24" s="20" t="str">
        <f>IF(OR($B24={"RH T-stuk"}),"Extension onder Links",IF(OR($B24={"RH Verloop","RH-S Bocht en verloop","RH-S Bocht + vierkant-rond"}),"Offset Breedte",IF(OR($B24={"RH-S Bocht en Verloop"}),"Extensie Onder",IF(OR($B24={"RH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24" s="20" t="str">
        <f>IF(OR($B24={"RH T-stuk","RH Sprong"}),"Extension Rechts",IF(OR($B24={"RH Bocht","RH-S Bocht + vierkant-rond"}),"Extensie Onder",IF(OR($B24={"RH-S Bocht en Verloop"}),"Extensie Bocht",IF(OR($B24={"RH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24" s="20" t="str">
        <f>IF(OR($B24={"RH T-stuk"}),"Extension Onder Rechts",IF(OR($B24={"RH Verloop","RH-S Bocht en verloop","RH-S Bocht + vierkant-rond"}),"Offset Diepte",IF(OR($B24={"RH Bocht","RH-S Bocht en Verloop","RH Recht kanaal","RH-S Bocht 2x","RH Verloop","RH T-Stuk","RH Sprong","RH Aftakking","RH Vierkant-Rond","RH Deksel","RH Afgesch. Kanaal","RH Plenum","RH VP Raam","RH Vlakke Plaat","RH Flexibel",""}),"")))</f>
        <v/>
      </c>
      <c r="R24" s="29"/>
      <c r="S24" s="29"/>
      <c r="T24" s="30"/>
      <c r="U24" s="30"/>
      <c r="V24" s="34" t="s">
        <v>46</v>
      </c>
      <c r="W24" s="20"/>
      <c r="X24" s="20"/>
      <c r="Y24" s="31" t="str">
        <f>IF(AND($B24="J",H24&lt;&gt;""),"Schets","")</f>
        <v/>
      </c>
      <c r="Z24" s="32">
        <f>IF(A24="","",1)</f>
        <v>1</v>
      </c>
      <c r="AB24" s="33"/>
    </row>
    <row r="25" spans="1:28" s="2" customFormat="1" ht="15" x14ac:dyDescent="0.2">
      <c r="A25" s="40"/>
      <c r="B25" s="39"/>
      <c r="C25" s="40"/>
      <c r="D25" s="3" t="str">
        <f>IF(OR($B25={"RH Recht kanaal","RH Sprong","RH Aftakking","RH Vierkant-Rond","RH-S Bocht 2x","RH-S Bocht en verloop","RH-S Bocht + vierkant-rond","RH Deksel","RH Afgesch. Kanaal","RH Plenum","RH VP Raam","RH Vlakke Plaat","RH Flexibel"}),"Breedte",IF(OR($B25={"RH T-Stuk","RH Bocht","RH Verloop"}),"Breedte 1",IF(OR($B25={""}),"")))</f>
        <v/>
      </c>
      <c r="E25" s="3" t="str">
        <f>IF(OR($B25={"RH Recht kanaal","RH T-Stuk","RH Bocht","RH Sprong","RH Aftakking","RH Vierkant-Rond","RH-S Bocht 2x","RH-S Bocht en verloop","RH-S Bocht + vierkant-rond","RH Deksel","RH Afgesch. Kanaal","RH Plenum","RH VP Raam","RH Vlakke Plaat","RH Flexibel"}),"Diepte",IF(OR($B25={"RH Verloop"}),"Diepte Onder",IF(OR($B25={""}),"")))</f>
        <v/>
      </c>
      <c r="F25" s="3" t="str">
        <f>IF(OR($B25={"RH T-Stuk"}),"Breedte Links",IF(OR($B25={"RH Bocht";"RH Verloop"}),"Breedte Boven",IF(OR($B25={"RH-S Bocht 2x"}),"Breedte Linksonder",IF(OR($B25={"RH Afgesch. Kanaal"}),"Breedte schuine zijde",IF(OR($B25={"RH-S Bocht en Verloop","RH-S Bocht + vierkant-rond"}),"Breedte Bocht onder",IF(OR($B25={"RH Recht kanaal","RH Sprong","RH Aftakking","RH Vierkant-Rond","RH-S Bocht 2x","RH-S Bocht en Verloop","RH-S Bocht + Vierkant-rond","RH Deksel","RH Plenum","RH VP Raam","RH Vlakke Plaat","RH Flexibel",""}),""))))))</f>
        <v/>
      </c>
      <c r="G25" s="3" t="str">
        <f>IF(OR($B25={"RH T-Stuk"}),"Breedte Rechts",IF(OR($B25={"RH Verloop"}),"Diepte Boven",IF(OR($B25={"RH-S Bocht 2x"}),"Breedte Linksboven",IF(OR($B25={"RH-S Bocht en Verloop","RH-S Bocht + vierkant-rond"}),"Breedte Bocht Boven",IF(OR($B25={"RH Recht kanaal","RH Bocht","RH Sprong","RH Aftakking","RH Vierkant-Rond","RH-S Bocht 2x","RH-S Bocht en Verloop","RH-S Bocht + Vierkant-rond","RH Deksel","RH Afgesch. Kanaal","RH Plenum","RH VP Raam","RH Vlakke Plaat","RH Flexibel",""}),"")))))</f>
        <v/>
      </c>
      <c r="H25" s="3" t="str">
        <f>IF(OR($B25={"RH-S Bocht 2x"}),"Breedte Rechtsboven",IF(OR($B25={"RH-S Bocht en Verloop"}),"Verloop Breedte Boven",IF(OR($B25={"RH Recht kanaal","RH T-Stuk","RH Bocht","RH Verloop","RH Sprong","RH Aftakking","RH Vierkant-Rond","RH-S Bocht 2x","RH-S Bocht en Verloop","RH-S Bocht + Vierkant-rond","RH Deksel","RH Afgesch. Kanaal","RH Plenum","RH VP Raam","RH Vlakke Plaat","RH Flexibel",""}),"")))</f>
        <v/>
      </c>
      <c r="I25" s="3" t="str">
        <f>IF(OR($B25={"RH-S Bocht en Verloop"}),"Verloop Diepte Boven",IF(OR($B25={"RH Recht kanaal","RH Bocht","RH Verloop","RH T-Stuk","RH Sprong","RH Aftakking","RH Vierkant-Rond","RH-S Bocht 2x","RH-S Bocht en Verloop","RH-S Bocht + Vierkant-rond","RH Deksel","RH Afgesch. Kanaal","RH Plenum","RH VP Raam","RH Vlakke Plaat","RH Flexibel",""}),""))</f>
        <v/>
      </c>
      <c r="J25" s="3" t="str">
        <f>IF(OR($B25={"RH Bocht","RH Verloop","RH-S Bocht en Verloop","RH=S Bocht + Vierkant-rond","RH Sprong","RH Afgesch. Kanaal"}),"Graden",IF(OR($B25={"RH-S Bocht + vierkant-rond"}),"Graden Bocht",IF(OR($B25={"RH-S Bocht 2x"}),"Graden Links",IF(OR($B25={"RH Recht kanaal","RH Bocht","RH Verloop","RH T-Stuk","RH Sprong","RH Aftakking","RH Vierkant-Rond","RH Deksel","RH Afgesch. Kanaal","RH Plenum","RH VP Raam","RH Vlakke Plaat","RH Flexibel",""}),""))))</f>
        <v/>
      </c>
      <c r="K25" s="3" t="str">
        <f>IF(OR($B25={"RH-S Bocht + vierkant-rond"}),"Graden Verloop",IF(OR($B25={"RH-S Bocht 2x"}),"Graden Rechts",IF(OR($B25={"RH Recht kanaal","RH Bocht","RH Verloop","RH T-Stuk","RH Sprong","RH-S Bocht en Verloop","RH Aftakking","RH Vierkant-Rond","RH Deksel","RH Afgesch. Kanaal","RH Plenum","RH VP Raam","RH Vlakke Plaat","RH Flexibel",""}),"")))</f>
        <v/>
      </c>
      <c r="L25" s="3" t="str">
        <f>IF(OR($B25={"RH Bocht"}),"Radius",IF(OR($B25={"RH T-stuk","RH-S Bocht 2x"}),"Radius Links",IF(OR($B25={"RH-S Bocht en verloop","RH-S Bocht + Vierkant-Rond"}),"Radius Bocht",IF(OR($B25={"RH Recht kanaal","RH Bocht","RH Verloop","RH T-Stuk","RH Sprong","RH Aftakking","RH Vierkant-Rond","RH Deksel","RH Afgesch. Kanaal","RH Plenum","RH VP Raam","RH Vlakke Plaat","RH Flexibel",""}),""))))</f>
        <v/>
      </c>
      <c r="M25" s="3" t="str">
        <f>IF(OR($B25={"RH T-stuk","RH-S Bocht 2x"}),"Radius Rechts",IF(OR($B25={"RH-S Bocht + Vierkant-rond","RH-S Bocht en Verloop","RH Recht kanaal","RH Bocht","RH Verloop","RH T-Stuk","RH Sprong","RH Aftakking","RH Vierkant-Rond","RH Deksel","RH Afgesch. Kanaal","RH Plenum","RH VP Raam","RH Vlakke Plaat","RH Flexibel",""}),""))</f>
        <v/>
      </c>
      <c r="N25" s="3" t="str">
        <f>IF(OR($B25={"RH T-stuk","RH Sprong"}),"Extension Links",IF(OR($B25={"RH Aftakking","RH Bocht","RH-S Bocht + vierkant-rond"}),"Extensie Boven",IF(OR($B25={"RH-S Bocht en Verloop"}),"Extensie Onder",IF(OR($B25={"RH-S Bocht en Verloop","RH Recht kanaal","RH-S Bocht 2x","RH Verloop","RH T-Stuk","RH Sprong","RH Aftakking","RH Vierkant-Rond","RH Deksel","RH Afgesch. Kanaal","RH Plenum","RH VP Raam","RH Vlakke Plaat","RH Flexibel",""}),""))))</f>
        <v/>
      </c>
      <c r="O25" s="20" t="str">
        <f>IF(OR($B25={"RH T-stuk"}),"Extension onder Links",IF(OR($B25={"RH Verloop","RH-S Bocht en verloop","RH-S Bocht + vierkant-rond"}),"Offset Breedte",IF(OR($B25={"RH-S Bocht en Verloop"}),"Extensie Onder",IF(OR($B25={"RH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P25" s="20" t="str">
        <f>IF(OR($B25={"RH T-stuk","RH Sprong"}),"Extension Rechts",IF(OR($B25={"RH Bocht","RH-S Bocht + vierkant-rond"}),"Extensie Onder",IF(OR($B25={"RH-S Bocht en Verloop"}),"Extensie Bocht",IF(OR($B25={"RH Bocht","RH-S Bocht en Verloop","RH Recht kanaal","RH-S Bocht 2x","RH Verloop","RH T-Stuk","RH Sprong","RH Aftakking","RH Vierkant-Rond","RH Deksel","RH Afgesch. Kanaal","RH Plenum","RH VP Raam","RH Vlakke Plaat","RH Flexibel",""}),""))))</f>
        <v/>
      </c>
      <c r="Q25" s="20" t="str">
        <f>IF(OR($B25={"RH T-stuk"}),"Extension Onder Rechts",IF(OR($B25={"RH Verloop","RH-S Bocht en verloop","RH-S Bocht + vierkant-rond"}),"Offset Diepte",IF(OR($B25={"RH Bocht","RH-S Bocht en Verloop","RH Recht kanaal","RH-S Bocht 2x","RH Verloop","RH T-Stuk","RH Sprong","RH Aftakking","RH Vierkant-Rond","RH Deksel","RH Afgesch. Kanaal","RH Plenum","RH VP Raam","RH Vlakke Plaat","RH Flexibel",""}),"")))</f>
        <v/>
      </c>
    </row>
    <row r="27" spans="1:28" x14ac:dyDescent="0.2">
      <c r="A27" s="17"/>
      <c r="B27" s="18"/>
      <c r="C27" s="18"/>
      <c r="P27" s="18"/>
      <c r="Q27" s="18"/>
    </row>
    <row r="28" spans="1:28" ht="12.75" customHeight="1" x14ac:dyDescent="0.2">
      <c r="Y28" s="70" t="s">
        <v>184</v>
      </c>
    </row>
    <row r="29" spans="1:28" ht="14.25" customHeight="1" x14ac:dyDescent="0.2">
      <c r="A29" s="69" t="s">
        <v>50</v>
      </c>
      <c r="B29" s="69"/>
      <c r="C29" s="69"/>
      <c r="D29" s="18"/>
      <c r="H29" s="18"/>
      <c r="P29" s="18"/>
      <c r="Q29" s="18"/>
      <c r="Y29" s="71"/>
    </row>
    <row r="30" spans="1:28" x14ac:dyDescent="0.2">
      <c r="A30" s="17" t="s">
        <v>68</v>
      </c>
      <c r="B30" s="18" t="s">
        <v>69</v>
      </c>
    </row>
    <row r="31" spans="1:28" ht="12.75" customHeight="1" x14ac:dyDescent="0.2">
      <c r="A31" s="17" t="s">
        <v>70</v>
      </c>
      <c r="B31" s="18" t="s">
        <v>71</v>
      </c>
      <c r="C31" s="18"/>
      <c r="P31" s="18"/>
      <c r="Z31" s="77"/>
    </row>
    <row r="32" spans="1:28" ht="12.75" customHeight="1" x14ac:dyDescent="0.2">
      <c r="A32" s="17" t="s">
        <v>74</v>
      </c>
      <c r="B32" s="18" t="s">
        <v>72</v>
      </c>
      <c r="Z32" s="77"/>
    </row>
    <row r="33" spans="1:16" x14ac:dyDescent="0.2">
      <c r="A33" s="17" t="s">
        <v>73</v>
      </c>
      <c r="B33" s="18" t="s">
        <v>80</v>
      </c>
      <c r="C33" s="18"/>
    </row>
    <row r="34" spans="1:16" ht="13.5" customHeight="1" x14ac:dyDescent="0.2">
      <c r="A34" s="17" t="s">
        <v>75</v>
      </c>
      <c r="B34" s="18" t="s">
        <v>81</v>
      </c>
    </row>
    <row r="35" spans="1:16" ht="13.5" customHeight="1" x14ac:dyDescent="0.2">
      <c r="A35" s="17" t="s">
        <v>94</v>
      </c>
      <c r="B35" s="18" t="s">
        <v>95</v>
      </c>
    </row>
    <row r="36" spans="1:16" x14ac:dyDescent="0.2">
      <c r="A36" s="17" t="s">
        <v>90</v>
      </c>
      <c r="B36" s="18" t="s">
        <v>91</v>
      </c>
    </row>
    <row r="37" spans="1:16" x14ac:dyDescent="0.2">
      <c r="A37" s="17" t="s">
        <v>76</v>
      </c>
      <c r="B37" s="18" t="s">
        <v>82</v>
      </c>
      <c r="C37" s="18"/>
    </row>
    <row r="38" spans="1:16" x14ac:dyDescent="0.2">
      <c r="A38" s="17" t="s">
        <v>77</v>
      </c>
      <c r="B38" s="18" t="s">
        <v>83</v>
      </c>
    </row>
    <row r="39" spans="1:16" x14ac:dyDescent="0.2">
      <c r="A39" s="78" t="s">
        <v>78</v>
      </c>
      <c r="B39" s="18" t="s">
        <v>79</v>
      </c>
      <c r="C39" s="18"/>
      <c r="P39" s="18"/>
    </row>
    <row r="40" spans="1:16" x14ac:dyDescent="0.2">
      <c r="A40" s="17" t="s">
        <v>84</v>
      </c>
      <c r="B40" s="18" t="s">
        <v>85</v>
      </c>
    </row>
    <row r="41" spans="1:16" x14ac:dyDescent="0.2">
      <c r="A41" s="17" t="s">
        <v>86</v>
      </c>
      <c r="B41" s="18" t="s">
        <v>87</v>
      </c>
    </row>
    <row r="42" spans="1:16" x14ac:dyDescent="0.2">
      <c r="A42" s="17" t="s">
        <v>88</v>
      </c>
      <c r="B42" s="18" t="s">
        <v>89</v>
      </c>
    </row>
    <row r="43" spans="1:16" x14ac:dyDescent="0.2">
      <c r="A43" s="17" t="s">
        <v>92</v>
      </c>
      <c r="B43" s="18" t="s">
        <v>93</v>
      </c>
    </row>
    <row r="44" spans="1:16" x14ac:dyDescent="0.2">
      <c r="A44" s="17" t="s">
        <v>96</v>
      </c>
      <c r="B44" s="18" t="s">
        <v>97</v>
      </c>
    </row>
    <row r="45" spans="1:16" x14ac:dyDescent="0.2">
      <c r="A45" s="17" t="s">
        <v>98</v>
      </c>
      <c r="B45" s="18" t="s">
        <v>99</v>
      </c>
    </row>
    <row r="46" spans="1:16" x14ac:dyDescent="0.2">
      <c r="A46" s="78" t="s">
        <v>100</v>
      </c>
      <c r="B46" s="18" t="s">
        <v>101</v>
      </c>
    </row>
    <row r="47" spans="1:16" x14ac:dyDescent="0.2">
      <c r="A47" s="17" t="s">
        <v>102</v>
      </c>
      <c r="B47" s="18" t="s">
        <v>103</v>
      </c>
    </row>
    <row r="48" spans="1:16" x14ac:dyDescent="0.2">
      <c r="A48" s="17" t="s">
        <v>104</v>
      </c>
      <c r="B48" s="18" t="s">
        <v>105</v>
      </c>
    </row>
    <row r="49" spans="1:2" x14ac:dyDescent="0.2">
      <c r="A49" s="17" t="s">
        <v>107</v>
      </c>
      <c r="B49" s="18" t="s">
        <v>107</v>
      </c>
    </row>
    <row r="50" spans="1:2" x14ac:dyDescent="0.2">
      <c r="A50" s="17" t="s">
        <v>106</v>
      </c>
      <c r="B50" s="18" t="s">
        <v>108</v>
      </c>
    </row>
    <row r="51" spans="1:2" x14ac:dyDescent="0.2">
      <c r="A51" s="17" t="s">
        <v>109</v>
      </c>
      <c r="B51" s="18" t="s">
        <v>110</v>
      </c>
    </row>
    <row r="52" spans="1:2" x14ac:dyDescent="0.2">
      <c r="A52" s="17" t="s">
        <v>114</v>
      </c>
      <c r="B52" s="18" t="s">
        <v>111</v>
      </c>
    </row>
    <row r="53" spans="1:2" x14ac:dyDescent="0.2">
      <c r="A53" s="17" t="s">
        <v>113</v>
      </c>
      <c r="B53" s="18" t="s">
        <v>115</v>
      </c>
    </row>
    <row r="54" spans="1:2" x14ac:dyDescent="0.2">
      <c r="A54" s="17" t="s">
        <v>112</v>
      </c>
      <c r="B54" s="18" t="s">
        <v>116</v>
      </c>
    </row>
    <row r="55" spans="1:2" x14ac:dyDescent="0.2">
      <c r="A55" s="17" t="s">
        <v>120</v>
      </c>
      <c r="B55" s="18" t="s">
        <v>121</v>
      </c>
    </row>
    <row r="56" spans="1:2" x14ac:dyDescent="0.2">
      <c r="A56" s="17" t="s">
        <v>118</v>
      </c>
      <c r="B56" s="18" t="s">
        <v>119</v>
      </c>
    </row>
    <row r="57" spans="1:2" x14ac:dyDescent="0.2">
      <c r="A57" s="17" t="s">
        <v>122</v>
      </c>
      <c r="B57" s="18" t="s">
        <v>117</v>
      </c>
    </row>
  </sheetData>
  <mergeCells count="3">
    <mergeCell ref="Y28:Y29"/>
    <mergeCell ref="V5:X5"/>
    <mergeCell ref="A29:C29"/>
  </mergeCells>
  <phoneticPr fontId="2" type="noConversion"/>
  <conditionalFormatting sqref="D24">
    <cfRule type="cellIs" dxfId="1600" priority="1574" stopIfTrue="1" operator="equal">
      <formula>"B1"</formula>
    </cfRule>
  </conditionalFormatting>
  <conditionalFormatting sqref="R15:S24">
    <cfRule type="cellIs" dxfId="1599" priority="1573" stopIfTrue="1" operator="equal">
      <formula>"L1"</formula>
    </cfRule>
  </conditionalFormatting>
  <conditionalFormatting sqref="V14 V16 V18 V20 V22">
    <cfRule type="cellIs" dxfId="1598" priority="1575" stopIfTrue="1" operator="equal">
      <formula>IF(AND(OR(#REF!="F",#REF!="V"),$L14=0),"T")</formula>
    </cfRule>
  </conditionalFormatting>
  <conditionalFormatting sqref="W14 W20 W22">
    <cfRule type="cellIs" dxfId="1597" priority="1576" stopIfTrue="1" operator="equal">
      <formula>IF(AND(#REF!="V",$M14=0),"T")</formula>
    </cfRule>
  </conditionalFormatting>
  <conditionalFormatting sqref="L9:L25">
    <cfRule type="cellIs" dxfId="1596" priority="1577" stopIfTrue="1" operator="equal">
      <formula>IF(AND(OR(#REF!="W",#REF!="Q",#REF!="J"),$J9&lt;150),100)</formula>
    </cfRule>
  </conditionalFormatting>
  <conditionalFormatting sqref="M16 M18 M20 M22 P22:Q22 P20:Q20 P18:Q18 P16:Q16">
    <cfRule type="cellIs" dxfId="1595" priority="1578" stopIfTrue="1" operator="equal">
      <formula>IF(AND(OR(#REF!="W",#REF!="Q",#REF!="J"),$K16&lt;150,$K16&gt;0),100)</formula>
    </cfRule>
  </conditionalFormatting>
  <conditionalFormatting sqref="D9:D24">
    <cfRule type="cellIs" dxfId="1594" priority="1572" stopIfTrue="1" operator="equal">
      <formula>"B1"</formula>
    </cfRule>
  </conditionalFormatting>
  <conditionalFormatting sqref="E8:E24">
    <cfRule type="cellIs" dxfId="1593" priority="1571" stopIfTrue="1" operator="equal">
      <formula>"B1"</formula>
    </cfRule>
  </conditionalFormatting>
  <conditionalFormatting sqref="E8:E24">
    <cfRule type="cellIs" dxfId="1592" priority="1570" stopIfTrue="1" operator="equal">
      <formula>"B1"</formula>
    </cfRule>
  </conditionalFormatting>
  <conditionalFormatting sqref="D8:D24">
    <cfRule type="cellIs" dxfId="1591" priority="1569" stopIfTrue="1" operator="equal">
      <formula>"B1"</formula>
    </cfRule>
  </conditionalFormatting>
  <conditionalFormatting sqref="D8:D24">
    <cfRule type="cellIs" dxfId="1590" priority="1568" stopIfTrue="1" operator="equal">
      <formula>"B1"</formula>
    </cfRule>
  </conditionalFormatting>
  <conditionalFormatting sqref="D25">
    <cfRule type="cellIs" dxfId="1589" priority="1567" stopIfTrue="1" operator="equal">
      <formula>"B1"</formula>
    </cfRule>
  </conditionalFormatting>
  <conditionalFormatting sqref="D25">
    <cfRule type="cellIs" dxfId="1588" priority="1566" stopIfTrue="1" operator="equal">
      <formula>"B1"</formula>
    </cfRule>
  </conditionalFormatting>
  <conditionalFormatting sqref="D25">
    <cfRule type="cellIs" dxfId="1587" priority="1565" stopIfTrue="1" operator="equal">
      <formula>"B1"</formula>
    </cfRule>
  </conditionalFormatting>
  <conditionalFormatting sqref="D8:D24">
    <cfRule type="cellIs" dxfId="1586" priority="1564" stopIfTrue="1" operator="equal">
      <formula>"B1"</formula>
    </cfRule>
  </conditionalFormatting>
  <conditionalFormatting sqref="R9:S9">
    <cfRule type="cellIs" dxfId="1585" priority="1563" stopIfTrue="1" operator="equal">
      <formula>"L1"</formula>
    </cfRule>
  </conditionalFormatting>
  <conditionalFormatting sqref="F11">
    <cfRule type="cellIs" dxfId="1584" priority="1562" stopIfTrue="1" operator="equal">
      <formula>"B1"</formula>
    </cfRule>
  </conditionalFormatting>
  <conditionalFormatting sqref="F12">
    <cfRule type="cellIs" dxfId="1583" priority="1561" stopIfTrue="1" operator="equal">
      <formula>"B1"</formula>
    </cfRule>
  </conditionalFormatting>
  <conditionalFormatting sqref="F10">
    <cfRule type="cellIs" dxfId="1582" priority="1560" stopIfTrue="1" operator="equal">
      <formula>"B1"</formula>
    </cfRule>
  </conditionalFormatting>
  <conditionalFormatting sqref="F9:F25">
    <cfRule type="cellIs" dxfId="1581" priority="1559" stopIfTrue="1" operator="equal">
      <formula>"B1"</formula>
    </cfRule>
  </conditionalFormatting>
  <conditionalFormatting sqref="F9:F25">
    <cfRule type="cellIs" dxfId="1580" priority="1558" stopIfTrue="1" operator="equal">
      <formula>"B1"</formula>
    </cfRule>
  </conditionalFormatting>
  <conditionalFormatting sqref="G9">
    <cfRule type="cellIs" dxfId="1579" priority="1557" stopIfTrue="1" operator="equal">
      <formula>"B1"</formula>
    </cfRule>
  </conditionalFormatting>
  <conditionalFormatting sqref="G9">
    <cfRule type="cellIs" dxfId="1578" priority="1556" stopIfTrue="1" operator="equal">
      <formula>"B1"</formula>
    </cfRule>
  </conditionalFormatting>
  <conditionalFormatting sqref="G12">
    <cfRule type="cellIs" dxfId="1577" priority="1555" stopIfTrue="1" operator="equal">
      <formula>"B1"</formula>
    </cfRule>
  </conditionalFormatting>
  <conditionalFormatting sqref="G12">
    <cfRule type="cellIs" dxfId="1576" priority="1554" stopIfTrue="1" operator="equal">
      <formula>"B1"</formula>
    </cfRule>
  </conditionalFormatting>
  <conditionalFormatting sqref="G13">
    <cfRule type="cellIs" dxfId="1575" priority="1553" stopIfTrue="1" operator="equal">
      <formula>"B1"</formula>
    </cfRule>
  </conditionalFormatting>
  <conditionalFormatting sqref="G13">
    <cfRule type="cellIs" dxfId="1574" priority="1552" stopIfTrue="1" operator="equal">
      <formula>"B1"</formula>
    </cfRule>
  </conditionalFormatting>
  <conditionalFormatting sqref="G14">
    <cfRule type="cellIs" dxfId="1573" priority="1551" stopIfTrue="1" operator="equal">
      <formula>"B1"</formula>
    </cfRule>
  </conditionalFormatting>
  <conditionalFormatting sqref="G14">
    <cfRule type="cellIs" dxfId="1572" priority="1550" stopIfTrue="1" operator="equal">
      <formula>"B1"</formula>
    </cfRule>
  </conditionalFormatting>
  <conditionalFormatting sqref="G15">
    <cfRule type="cellIs" dxfId="1571" priority="1549" stopIfTrue="1" operator="equal">
      <formula>"B1"</formula>
    </cfRule>
  </conditionalFormatting>
  <conditionalFormatting sqref="G15">
    <cfRule type="cellIs" dxfId="1570" priority="1548" stopIfTrue="1" operator="equal">
      <formula>"B1"</formula>
    </cfRule>
  </conditionalFormatting>
  <conditionalFormatting sqref="G16">
    <cfRule type="cellIs" dxfId="1569" priority="1547" stopIfTrue="1" operator="equal">
      <formula>"B1"</formula>
    </cfRule>
  </conditionalFormatting>
  <conditionalFormatting sqref="G16">
    <cfRule type="cellIs" dxfId="1568" priority="1546" stopIfTrue="1" operator="equal">
      <formula>"B1"</formula>
    </cfRule>
  </conditionalFormatting>
  <conditionalFormatting sqref="G9:G25">
    <cfRule type="cellIs" dxfId="1567" priority="1545" stopIfTrue="1" operator="equal">
      <formula>"B1"</formula>
    </cfRule>
  </conditionalFormatting>
  <conditionalFormatting sqref="G9:G25">
    <cfRule type="cellIs" dxfId="1566" priority="1544" stopIfTrue="1" operator="equal">
      <formula>"B1"</formula>
    </cfRule>
  </conditionalFormatting>
  <conditionalFormatting sqref="G9:G25">
    <cfRule type="cellIs" dxfId="1565" priority="1543" stopIfTrue="1" operator="equal">
      <formula>"B1"</formula>
    </cfRule>
  </conditionalFormatting>
  <conditionalFormatting sqref="G9:G25">
    <cfRule type="cellIs" dxfId="1564" priority="1542" stopIfTrue="1" operator="equal">
      <formula>"B1"</formula>
    </cfRule>
  </conditionalFormatting>
  <conditionalFormatting sqref="G19">
    <cfRule type="cellIs" dxfId="1563" priority="1541" stopIfTrue="1" operator="equal">
      <formula>"B1"</formula>
    </cfRule>
  </conditionalFormatting>
  <conditionalFormatting sqref="G19">
    <cfRule type="cellIs" dxfId="1562" priority="1540" stopIfTrue="1" operator="equal">
      <formula>"B1"</formula>
    </cfRule>
  </conditionalFormatting>
  <conditionalFormatting sqref="G20">
    <cfRule type="cellIs" dxfId="1561" priority="1539" stopIfTrue="1" operator="equal">
      <formula>"B1"</formula>
    </cfRule>
  </conditionalFormatting>
  <conditionalFormatting sqref="G20">
    <cfRule type="cellIs" dxfId="1560" priority="1538" stopIfTrue="1" operator="equal">
      <formula>"B1"</formula>
    </cfRule>
  </conditionalFormatting>
  <conditionalFormatting sqref="G21">
    <cfRule type="cellIs" dxfId="1559" priority="1537" stopIfTrue="1" operator="equal">
      <formula>"B1"</formula>
    </cfRule>
  </conditionalFormatting>
  <conditionalFormatting sqref="G21">
    <cfRule type="cellIs" dxfId="1558" priority="1536" stopIfTrue="1" operator="equal">
      <formula>"B1"</formula>
    </cfRule>
  </conditionalFormatting>
  <conditionalFormatting sqref="G22">
    <cfRule type="cellIs" dxfId="1557" priority="1535" stopIfTrue="1" operator="equal">
      <formula>"B1"</formula>
    </cfRule>
  </conditionalFormatting>
  <conditionalFormatting sqref="G22">
    <cfRule type="cellIs" dxfId="1556" priority="1534" stopIfTrue="1" operator="equal">
      <formula>"B1"</formula>
    </cfRule>
  </conditionalFormatting>
  <conditionalFormatting sqref="G23">
    <cfRule type="cellIs" dxfId="1555" priority="1533" stopIfTrue="1" operator="equal">
      <formula>"B1"</formula>
    </cfRule>
  </conditionalFormatting>
  <conditionalFormatting sqref="G23">
    <cfRule type="cellIs" dxfId="1554" priority="1532" stopIfTrue="1" operator="equal">
      <formula>"B1"</formula>
    </cfRule>
  </conditionalFormatting>
  <conditionalFormatting sqref="G24">
    <cfRule type="cellIs" dxfId="1553" priority="1531" stopIfTrue="1" operator="equal">
      <formula>"B1"</formula>
    </cfRule>
  </conditionalFormatting>
  <conditionalFormatting sqref="G24">
    <cfRule type="cellIs" dxfId="1552" priority="1530" stopIfTrue="1" operator="equal">
      <formula>"B1"</formula>
    </cfRule>
  </conditionalFormatting>
  <conditionalFormatting sqref="G9:G25">
    <cfRule type="cellIs" dxfId="1551" priority="1529" stopIfTrue="1" operator="equal">
      <formula>"B1"</formula>
    </cfRule>
  </conditionalFormatting>
  <conditionalFormatting sqref="G9:G25">
    <cfRule type="cellIs" dxfId="1550" priority="1528" stopIfTrue="1" operator="equal">
      <formula>"B1"</formula>
    </cfRule>
  </conditionalFormatting>
  <conditionalFormatting sqref="G11">
    <cfRule type="cellIs" dxfId="1549" priority="1527" stopIfTrue="1" operator="equal">
      <formula>"B1"</formula>
    </cfRule>
  </conditionalFormatting>
  <conditionalFormatting sqref="G11">
    <cfRule type="cellIs" dxfId="1548" priority="1526" stopIfTrue="1" operator="equal">
      <formula>"B1"</formula>
    </cfRule>
  </conditionalFormatting>
  <conditionalFormatting sqref="H9:H25">
    <cfRule type="cellIs" dxfId="1547" priority="1525" stopIfTrue="1" operator="equal">
      <formula>"B1"</formula>
    </cfRule>
  </conditionalFormatting>
  <conditionalFormatting sqref="H9:H25">
    <cfRule type="cellIs" dxfId="1546" priority="1524" stopIfTrue="1" operator="equal">
      <formula>"B1"</formula>
    </cfRule>
  </conditionalFormatting>
  <conditionalFormatting sqref="H9:H25">
    <cfRule type="cellIs" dxfId="1545" priority="1523" stopIfTrue="1" operator="equal">
      <formula>"B1"</formula>
    </cfRule>
  </conditionalFormatting>
  <conditionalFormatting sqref="H9:H25">
    <cfRule type="cellIs" dxfId="1544" priority="1522" stopIfTrue="1" operator="equal">
      <formula>"B1"</formula>
    </cfRule>
  </conditionalFormatting>
  <conditionalFormatting sqref="H9:H25">
    <cfRule type="cellIs" dxfId="1543" priority="1521" stopIfTrue="1" operator="equal">
      <formula>"B1"</formula>
    </cfRule>
  </conditionalFormatting>
  <conditionalFormatting sqref="H9:H25">
    <cfRule type="cellIs" dxfId="1542" priority="1520" stopIfTrue="1" operator="equal">
      <formula>"B1"</formula>
    </cfRule>
  </conditionalFormatting>
  <conditionalFormatting sqref="H9:H25">
    <cfRule type="cellIs" dxfId="1541" priority="1519" stopIfTrue="1" operator="equal">
      <formula>"B1"</formula>
    </cfRule>
  </conditionalFormatting>
  <conditionalFormatting sqref="H9:H25">
    <cfRule type="cellIs" dxfId="1540" priority="1518" stopIfTrue="1" operator="equal">
      <formula>"B1"</formula>
    </cfRule>
  </conditionalFormatting>
  <conditionalFormatting sqref="H18">
    <cfRule type="cellIs" dxfId="1539" priority="1517" stopIfTrue="1" operator="equal">
      <formula>"B1"</formula>
    </cfRule>
  </conditionalFormatting>
  <conditionalFormatting sqref="H18">
    <cfRule type="cellIs" dxfId="1538" priority="1516" stopIfTrue="1" operator="equal">
      <formula>"B1"</formula>
    </cfRule>
  </conditionalFormatting>
  <conditionalFormatting sqref="H18">
    <cfRule type="cellIs" dxfId="1537" priority="1515" stopIfTrue="1" operator="equal">
      <formula>"B1"</formula>
    </cfRule>
  </conditionalFormatting>
  <conditionalFormatting sqref="H18">
    <cfRule type="cellIs" dxfId="1536" priority="1514" stopIfTrue="1" operator="equal">
      <formula>"B1"</formula>
    </cfRule>
  </conditionalFormatting>
  <conditionalFormatting sqref="I9:I25">
    <cfRule type="cellIs" dxfId="1535" priority="1513" stopIfTrue="1" operator="equal">
      <formula>"B1"</formula>
    </cfRule>
  </conditionalFormatting>
  <conditionalFormatting sqref="I9:I25">
    <cfRule type="cellIs" dxfId="1534" priority="1512" stopIfTrue="1" operator="equal">
      <formula>"B1"</formula>
    </cfRule>
  </conditionalFormatting>
  <conditionalFormatting sqref="I9:I25">
    <cfRule type="cellIs" dxfId="1533" priority="1511" stopIfTrue="1" operator="equal">
      <formula>"B1"</formula>
    </cfRule>
  </conditionalFormatting>
  <conditionalFormatting sqref="I9:I25">
    <cfRule type="cellIs" dxfId="1532" priority="1510" stopIfTrue="1" operator="equal">
      <formula>"B1"</formula>
    </cfRule>
  </conditionalFormatting>
  <conditionalFormatting sqref="I25">
    <cfRule type="cellIs" dxfId="1531" priority="1509" stopIfTrue="1" operator="equal">
      <formula>"B1"</formula>
    </cfRule>
  </conditionalFormatting>
  <conditionalFormatting sqref="I25">
    <cfRule type="cellIs" dxfId="1530" priority="1508" stopIfTrue="1" operator="equal">
      <formula>"B1"</formula>
    </cfRule>
  </conditionalFormatting>
  <conditionalFormatting sqref="I25">
    <cfRule type="cellIs" dxfId="1529" priority="1507" stopIfTrue="1" operator="equal">
      <formula>"B1"</formula>
    </cfRule>
  </conditionalFormatting>
  <conditionalFormatting sqref="I25">
    <cfRule type="cellIs" dxfId="1528" priority="1506" stopIfTrue="1" operator="equal">
      <formula>"B1"</formula>
    </cfRule>
  </conditionalFormatting>
  <conditionalFormatting sqref="H25">
    <cfRule type="cellIs" dxfId="1527" priority="1505" stopIfTrue="1" operator="equal">
      <formula>"B1"</formula>
    </cfRule>
  </conditionalFormatting>
  <conditionalFormatting sqref="H25">
    <cfRule type="cellIs" dxfId="1526" priority="1504" stopIfTrue="1" operator="equal">
      <formula>"B1"</formula>
    </cfRule>
  </conditionalFormatting>
  <conditionalFormatting sqref="H25">
    <cfRule type="cellIs" dxfId="1525" priority="1503" stopIfTrue="1" operator="equal">
      <formula>"B1"</formula>
    </cfRule>
  </conditionalFormatting>
  <conditionalFormatting sqref="H25">
    <cfRule type="cellIs" dxfId="1524" priority="1502" stopIfTrue="1" operator="equal">
      <formula>"B1"</formula>
    </cfRule>
  </conditionalFormatting>
  <conditionalFormatting sqref="H18">
    <cfRule type="cellIs" dxfId="1523" priority="1501" stopIfTrue="1" operator="equal">
      <formula>"B1"</formula>
    </cfRule>
  </conditionalFormatting>
  <conditionalFormatting sqref="H18">
    <cfRule type="cellIs" dxfId="1522" priority="1500" stopIfTrue="1" operator="equal">
      <formula>"B1"</formula>
    </cfRule>
  </conditionalFormatting>
  <conditionalFormatting sqref="H18">
    <cfRule type="cellIs" dxfId="1521" priority="1499" stopIfTrue="1" operator="equal">
      <formula>"B1"</formula>
    </cfRule>
  </conditionalFormatting>
  <conditionalFormatting sqref="H18">
    <cfRule type="cellIs" dxfId="1520" priority="1498" stopIfTrue="1" operator="equal">
      <formula>"B1"</formula>
    </cfRule>
  </conditionalFormatting>
  <conditionalFormatting sqref="H19">
    <cfRule type="cellIs" dxfId="1519" priority="1497" stopIfTrue="1" operator="equal">
      <formula>"B1"</formula>
    </cfRule>
  </conditionalFormatting>
  <conditionalFormatting sqref="H19">
    <cfRule type="cellIs" dxfId="1518" priority="1496" stopIfTrue="1" operator="equal">
      <formula>"B1"</formula>
    </cfRule>
  </conditionalFormatting>
  <conditionalFormatting sqref="H19">
    <cfRule type="cellIs" dxfId="1517" priority="1495" stopIfTrue="1" operator="equal">
      <formula>"B1"</formula>
    </cfRule>
  </conditionalFormatting>
  <conditionalFormatting sqref="H19">
    <cfRule type="cellIs" dxfId="1516" priority="1494" stopIfTrue="1" operator="equal">
      <formula>"B1"</formula>
    </cfRule>
  </conditionalFormatting>
  <conditionalFormatting sqref="H20">
    <cfRule type="cellIs" dxfId="1515" priority="1493" stopIfTrue="1" operator="equal">
      <formula>"B1"</formula>
    </cfRule>
  </conditionalFormatting>
  <conditionalFormatting sqref="H20">
    <cfRule type="cellIs" dxfId="1514" priority="1492" stopIfTrue="1" operator="equal">
      <formula>"B1"</formula>
    </cfRule>
  </conditionalFormatting>
  <conditionalFormatting sqref="H20">
    <cfRule type="cellIs" dxfId="1513" priority="1491" stopIfTrue="1" operator="equal">
      <formula>"B1"</formula>
    </cfRule>
  </conditionalFormatting>
  <conditionalFormatting sqref="H20">
    <cfRule type="cellIs" dxfId="1512" priority="1490" stopIfTrue="1" operator="equal">
      <formula>"B1"</formula>
    </cfRule>
  </conditionalFormatting>
  <conditionalFormatting sqref="H21">
    <cfRule type="cellIs" dxfId="1511" priority="1489" stopIfTrue="1" operator="equal">
      <formula>"B1"</formula>
    </cfRule>
  </conditionalFormatting>
  <conditionalFormatting sqref="H21">
    <cfRule type="cellIs" dxfId="1510" priority="1488" stopIfTrue="1" operator="equal">
      <formula>"B1"</formula>
    </cfRule>
  </conditionalFormatting>
  <conditionalFormatting sqref="H21">
    <cfRule type="cellIs" dxfId="1509" priority="1487" stopIfTrue="1" operator="equal">
      <formula>"B1"</formula>
    </cfRule>
  </conditionalFormatting>
  <conditionalFormatting sqref="H21">
    <cfRule type="cellIs" dxfId="1508" priority="1486" stopIfTrue="1" operator="equal">
      <formula>"B1"</formula>
    </cfRule>
  </conditionalFormatting>
  <conditionalFormatting sqref="H22">
    <cfRule type="cellIs" dxfId="1507" priority="1485" stopIfTrue="1" operator="equal">
      <formula>"B1"</formula>
    </cfRule>
  </conditionalFormatting>
  <conditionalFormatting sqref="H22">
    <cfRule type="cellIs" dxfId="1506" priority="1484" stopIfTrue="1" operator="equal">
      <formula>"B1"</formula>
    </cfRule>
  </conditionalFormatting>
  <conditionalFormatting sqref="H22">
    <cfRule type="cellIs" dxfId="1505" priority="1483" stopIfTrue="1" operator="equal">
      <formula>"B1"</formula>
    </cfRule>
  </conditionalFormatting>
  <conditionalFormatting sqref="H22">
    <cfRule type="cellIs" dxfId="1504" priority="1482" stopIfTrue="1" operator="equal">
      <formula>"B1"</formula>
    </cfRule>
  </conditionalFormatting>
  <conditionalFormatting sqref="H23">
    <cfRule type="cellIs" dxfId="1503" priority="1481" stopIfTrue="1" operator="equal">
      <formula>"B1"</formula>
    </cfRule>
  </conditionalFormatting>
  <conditionalFormatting sqref="H23">
    <cfRule type="cellIs" dxfId="1502" priority="1480" stopIfTrue="1" operator="equal">
      <formula>"B1"</formula>
    </cfRule>
  </conditionalFormatting>
  <conditionalFormatting sqref="H23">
    <cfRule type="cellIs" dxfId="1501" priority="1479" stopIfTrue="1" operator="equal">
      <formula>"B1"</formula>
    </cfRule>
  </conditionalFormatting>
  <conditionalFormatting sqref="H23">
    <cfRule type="cellIs" dxfId="1500" priority="1478" stopIfTrue="1" operator="equal">
      <formula>"B1"</formula>
    </cfRule>
  </conditionalFormatting>
  <conditionalFormatting sqref="H24">
    <cfRule type="cellIs" dxfId="1499" priority="1477" stopIfTrue="1" operator="equal">
      <formula>"B1"</formula>
    </cfRule>
  </conditionalFormatting>
  <conditionalFormatting sqref="H24">
    <cfRule type="cellIs" dxfId="1498" priority="1476" stopIfTrue="1" operator="equal">
      <formula>"B1"</formula>
    </cfRule>
  </conditionalFormatting>
  <conditionalFormatting sqref="H24">
    <cfRule type="cellIs" dxfId="1497" priority="1475" stopIfTrue="1" operator="equal">
      <formula>"B1"</formula>
    </cfRule>
  </conditionalFormatting>
  <conditionalFormatting sqref="H24">
    <cfRule type="cellIs" dxfId="1496" priority="1474" stopIfTrue="1" operator="equal">
      <formula>"B1"</formula>
    </cfRule>
  </conditionalFormatting>
  <conditionalFormatting sqref="H25">
    <cfRule type="cellIs" dxfId="1495" priority="1473" stopIfTrue="1" operator="equal">
      <formula>"B1"</formula>
    </cfRule>
  </conditionalFormatting>
  <conditionalFormatting sqref="H25">
    <cfRule type="cellIs" dxfId="1494" priority="1472" stopIfTrue="1" operator="equal">
      <formula>"B1"</formula>
    </cfRule>
  </conditionalFormatting>
  <conditionalFormatting sqref="H25">
    <cfRule type="cellIs" dxfId="1493" priority="1471" stopIfTrue="1" operator="equal">
      <formula>"B1"</formula>
    </cfRule>
  </conditionalFormatting>
  <conditionalFormatting sqref="H25">
    <cfRule type="cellIs" dxfId="1492" priority="1470" stopIfTrue="1" operator="equal">
      <formula>"B1"</formula>
    </cfRule>
  </conditionalFormatting>
  <conditionalFormatting sqref="F25">
    <cfRule type="cellIs" dxfId="1491" priority="1469" stopIfTrue="1" operator="equal">
      <formula>"B1"</formula>
    </cfRule>
  </conditionalFormatting>
  <conditionalFormatting sqref="F25">
    <cfRule type="cellIs" dxfId="1490" priority="1468" stopIfTrue="1" operator="equal">
      <formula>"B1"</formula>
    </cfRule>
  </conditionalFormatting>
  <conditionalFormatting sqref="E25">
    <cfRule type="cellIs" dxfId="1489" priority="1467" stopIfTrue="1" operator="equal">
      <formula>"B1"</formula>
    </cfRule>
  </conditionalFormatting>
  <conditionalFormatting sqref="E25">
    <cfRule type="cellIs" dxfId="1488" priority="1466" stopIfTrue="1" operator="equal">
      <formula>"B1"</formula>
    </cfRule>
  </conditionalFormatting>
  <conditionalFormatting sqref="J9:J25">
    <cfRule type="cellIs" dxfId="1487" priority="1465" stopIfTrue="1" operator="equal">
      <formula>"B1"</formula>
    </cfRule>
  </conditionalFormatting>
  <conditionalFormatting sqref="J9:J25">
    <cfRule type="cellIs" dxfId="1486" priority="1464" stopIfTrue="1" operator="equal">
      <formula>"B1"</formula>
    </cfRule>
  </conditionalFormatting>
  <conditionalFormatting sqref="J9:J25">
    <cfRule type="cellIs" dxfId="1485" priority="1463" stopIfTrue="1" operator="equal">
      <formula>"B1"</formula>
    </cfRule>
  </conditionalFormatting>
  <conditionalFormatting sqref="J9:J25">
    <cfRule type="cellIs" dxfId="1484" priority="1462" stopIfTrue="1" operator="equal">
      <formula>"B1"</formula>
    </cfRule>
  </conditionalFormatting>
  <conditionalFormatting sqref="K9:K25">
    <cfRule type="cellIs" dxfId="1483" priority="1461" stopIfTrue="1" operator="equal">
      <formula>"B1"</formula>
    </cfRule>
  </conditionalFormatting>
  <conditionalFormatting sqref="K9:K25">
    <cfRule type="cellIs" dxfId="1482" priority="1460" stopIfTrue="1" operator="equal">
      <formula>"B1"</formula>
    </cfRule>
  </conditionalFormatting>
  <conditionalFormatting sqref="K9:K25">
    <cfRule type="cellIs" dxfId="1481" priority="1459" stopIfTrue="1" operator="equal">
      <formula>"B1"</formula>
    </cfRule>
  </conditionalFormatting>
  <conditionalFormatting sqref="K9:K25">
    <cfRule type="cellIs" dxfId="1480" priority="1458" stopIfTrue="1" operator="equal">
      <formula>"B1"</formula>
    </cfRule>
  </conditionalFormatting>
  <conditionalFormatting sqref="L11">
    <cfRule type="cellIs" dxfId="1479" priority="1457" stopIfTrue="1" operator="equal">
      <formula>"B1"</formula>
    </cfRule>
  </conditionalFormatting>
  <conditionalFormatting sqref="L11">
    <cfRule type="cellIs" dxfId="1478" priority="1456" stopIfTrue="1" operator="equal">
      <formula>"B1"</formula>
    </cfRule>
  </conditionalFormatting>
  <conditionalFormatting sqref="L11">
    <cfRule type="cellIs" dxfId="1477" priority="1455" stopIfTrue="1" operator="equal">
      <formula>"B1"</formula>
    </cfRule>
  </conditionalFormatting>
  <conditionalFormatting sqref="L11">
    <cfRule type="cellIs" dxfId="1476" priority="1454" stopIfTrue="1" operator="equal">
      <formula>"B1"</formula>
    </cfRule>
  </conditionalFormatting>
  <conditionalFormatting sqref="L9:L25">
    <cfRule type="cellIs" dxfId="1475" priority="1453" stopIfTrue="1" operator="equal">
      <formula>"B1"</formula>
    </cfRule>
  </conditionalFormatting>
  <conditionalFormatting sqref="L9:L25">
    <cfRule type="cellIs" dxfId="1474" priority="1452" stopIfTrue="1" operator="equal">
      <formula>"B1"</formula>
    </cfRule>
  </conditionalFormatting>
  <conditionalFormatting sqref="L9:L25">
    <cfRule type="cellIs" dxfId="1473" priority="1451" stopIfTrue="1" operator="equal">
      <formula>"B1"</formula>
    </cfRule>
  </conditionalFormatting>
  <conditionalFormatting sqref="L9:L25">
    <cfRule type="cellIs" dxfId="1472" priority="1450" stopIfTrue="1" operator="equal">
      <formula>"B1"</formula>
    </cfRule>
  </conditionalFormatting>
  <conditionalFormatting sqref="L9:L25">
    <cfRule type="cellIs" dxfId="1471" priority="1449" stopIfTrue="1" operator="equal">
      <formula>"B1"</formula>
    </cfRule>
  </conditionalFormatting>
  <conditionalFormatting sqref="L9:L25">
    <cfRule type="cellIs" dxfId="1470" priority="1448" stopIfTrue="1" operator="equal">
      <formula>"B1"</formula>
    </cfRule>
  </conditionalFormatting>
  <conditionalFormatting sqref="L9:L25">
    <cfRule type="cellIs" dxfId="1469" priority="1447" stopIfTrue="1" operator="equal">
      <formula>"B1"</formula>
    </cfRule>
  </conditionalFormatting>
  <conditionalFormatting sqref="L9:L25">
    <cfRule type="cellIs" dxfId="1468" priority="1446" stopIfTrue="1" operator="equal">
      <formula>"B1"</formula>
    </cfRule>
  </conditionalFormatting>
  <conditionalFormatting sqref="M9:N25">
    <cfRule type="cellIs" dxfId="1467" priority="1445" stopIfTrue="1" operator="equal">
      <formula>IF(AND(OR(#REF!="W",#REF!="Q",#REF!="J"),$J9&lt;150),100)</formula>
    </cfRule>
  </conditionalFormatting>
  <conditionalFormatting sqref="M10">
    <cfRule type="cellIs" dxfId="1466" priority="1444" stopIfTrue="1" operator="equal">
      <formula>"B1"</formula>
    </cfRule>
  </conditionalFormatting>
  <conditionalFormatting sqref="M10">
    <cfRule type="cellIs" dxfId="1465" priority="1443" stopIfTrue="1" operator="equal">
      <formula>"B1"</formula>
    </cfRule>
  </conditionalFormatting>
  <conditionalFormatting sqref="M10">
    <cfRule type="cellIs" dxfId="1464" priority="1442" stopIfTrue="1" operator="equal">
      <formula>"B1"</formula>
    </cfRule>
  </conditionalFormatting>
  <conditionalFormatting sqref="M10">
    <cfRule type="cellIs" dxfId="1463" priority="1441" stopIfTrue="1" operator="equal">
      <formula>"B1"</formula>
    </cfRule>
  </conditionalFormatting>
  <conditionalFormatting sqref="M10">
    <cfRule type="cellIs" dxfId="1462" priority="1440" stopIfTrue="1" operator="equal">
      <formula>"B1"</formula>
    </cfRule>
  </conditionalFormatting>
  <conditionalFormatting sqref="M10">
    <cfRule type="cellIs" dxfId="1461" priority="1439" stopIfTrue="1" operator="equal">
      <formula>"B1"</formula>
    </cfRule>
  </conditionalFormatting>
  <conditionalFormatting sqref="M10">
    <cfRule type="cellIs" dxfId="1460" priority="1438" stopIfTrue="1" operator="equal">
      <formula>"B1"</formula>
    </cfRule>
  </conditionalFormatting>
  <conditionalFormatting sqref="M10">
    <cfRule type="cellIs" dxfId="1459" priority="1437" stopIfTrue="1" operator="equal">
      <formula>"B1"</formula>
    </cfRule>
  </conditionalFormatting>
  <conditionalFormatting sqref="M8:M25">
    <cfRule type="cellIs" dxfId="1458" priority="1436" stopIfTrue="1" operator="equal">
      <formula>"B1"</formula>
    </cfRule>
  </conditionalFormatting>
  <conditionalFormatting sqref="M8:M25">
    <cfRule type="cellIs" dxfId="1457" priority="1435" stopIfTrue="1" operator="equal">
      <formula>"B1"</formula>
    </cfRule>
  </conditionalFormatting>
  <conditionalFormatting sqref="M8:M25">
    <cfRule type="cellIs" dxfId="1456" priority="1434" stopIfTrue="1" operator="equal">
      <formula>"B1"</formula>
    </cfRule>
  </conditionalFormatting>
  <conditionalFormatting sqref="M8:M25">
    <cfRule type="cellIs" dxfId="1455" priority="1433" stopIfTrue="1" operator="equal">
      <formula>"B1"</formula>
    </cfRule>
  </conditionalFormatting>
  <conditionalFormatting sqref="M8:M25">
    <cfRule type="cellIs" dxfId="1454" priority="1432" stopIfTrue="1" operator="equal">
      <formula>"B1"</formula>
    </cfRule>
  </conditionalFormatting>
  <conditionalFormatting sqref="M8:M25">
    <cfRule type="cellIs" dxfId="1453" priority="1431" stopIfTrue="1" operator="equal">
      <formula>"B1"</formula>
    </cfRule>
  </conditionalFormatting>
  <conditionalFormatting sqref="M8:M25">
    <cfRule type="cellIs" dxfId="1452" priority="1430" stopIfTrue="1" operator="equal">
      <formula>"B1"</formula>
    </cfRule>
  </conditionalFormatting>
  <conditionalFormatting sqref="M8:M25">
    <cfRule type="cellIs" dxfId="1451" priority="1429" stopIfTrue="1" operator="equal">
      <formula>"B1"</formula>
    </cfRule>
  </conditionalFormatting>
  <conditionalFormatting sqref="N8:N25">
    <cfRule type="cellIs" dxfId="1450" priority="1428" stopIfTrue="1" operator="equal">
      <formula>"B1"</formula>
    </cfRule>
  </conditionalFormatting>
  <conditionalFormatting sqref="N8:N25">
    <cfRule type="cellIs" dxfId="1449" priority="1427" stopIfTrue="1" operator="equal">
      <formula>"B1"</formula>
    </cfRule>
  </conditionalFormatting>
  <conditionalFormatting sqref="N8:N25">
    <cfRule type="cellIs" dxfId="1448" priority="1426" stopIfTrue="1" operator="equal">
      <formula>"B1"</formula>
    </cfRule>
  </conditionalFormatting>
  <conditionalFormatting sqref="N8:N25">
    <cfRule type="cellIs" dxfId="1447" priority="1425" stopIfTrue="1" operator="equal">
      <formula>"B1"</formula>
    </cfRule>
  </conditionalFormatting>
  <conditionalFormatting sqref="N8:N25">
    <cfRule type="cellIs" dxfId="1446" priority="1424" stopIfTrue="1" operator="equal">
      <formula>"B1"</formula>
    </cfRule>
  </conditionalFormatting>
  <conditionalFormatting sqref="N8:N25">
    <cfRule type="cellIs" dxfId="1445" priority="1423" stopIfTrue="1" operator="equal">
      <formula>"B1"</formula>
    </cfRule>
  </conditionalFormatting>
  <conditionalFormatting sqref="N8:N25">
    <cfRule type="cellIs" dxfId="1444" priority="1422" stopIfTrue="1" operator="equal">
      <formula>"B1"</formula>
    </cfRule>
  </conditionalFormatting>
  <conditionalFormatting sqref="N8:N25">
    <cfRule type="cellIs" dxfId="1443" priority="1421" stopIfTrue="1" operator="equal">
      <formula>"B1"</formula>
    </cfRule>
  </conditionalFormatting>
  <conditionalFormatting sqref="N12">
    <cfRule type="cellIs" dxfId="1442" priority="1420" stopIfTrue="1" operator="equal">
      <formula>IF(AND(OR(#REF!="W",#REF!="Q",#REF!="J"),$J12&lt;150),100)</formula>
    </cfRule>
  </conditionalFormatting>
  <conditionalFormatting sqref="N12">
    <cfRule type="cellIs" dxfId="1441" priority="1419" stopIfTrue="1" operator="equal">
      <formula>"B1"</formula>
    </cfRule>
  </conditionalFormatting>
  <conditionalFormatting sqref="N12">
    <cfRule type="cellIs" dxfId="1440" priority="1418" stopIfTrue="1" operator="equal">
      <formula>"B1"</formula>
    </cfRule>
  </conditionalFormatting>
  <conditionalFormatting sqref="N12">
    <cfRule type="cellIs" dxfId="1439" priority="1417" stopIfTrue="1" operator="equal">
      <formula>"B1"</formula>
    </cfRule>
  </conditionalFormatting>
  <conditionalFormatting sqref="N12">
    <cfRule type="cellIs" dxfId="1438" priority="1416" stopIfTrue="1" operator="equal">
      <formula>"B1"</formula>
    </cfRule>
  </conditionalFormatting>
  <conditionalFormatting sqref="N12">
    <cfRule type="cellIs" dxfId="1437" priority="1415" stopIfTrue="1" operator="equal">
      <formula>"B1"</formula>
    </cfRule>
  </conditionalFormatting>
  <conditionalFormatting sqref="N12">
    <cfRule type="cellIs" dxfId="1436" priority="1414" stopIfTrue="1" operator="equal">
      <formula>"B1"</formula>
    </cfRule>
  </conditionalFormatting>
  <conditionalFormatting sqref="N12">
    <cfRule type="cellIs" dxfId="1435" priority="1413" stopIfTrue="1" operator="equal">
      <formula>"B1"</formula>
    </cfRule>
  </conditionalFormatting>
  <conditionalFormatting sqref="N12">
    <cfRule type="cellIs" dxfId="1434" priority="1412" stopIfTrue="1" operator="equal">
      <formula>"B1"</formula>
    </cfRule>
  </conditionalFormatting>
  <conditionalFormatting sqref="N8:N25">
    <cfRule type="cellIs" dxfId="1433" priority="1411" stopIfTrue="1" operator="equal">
      <formula>"B1"</formula>
    </cfRule>
  </conditionalFormatting>
  <conditionalFormatting sqref="N8:N25">
    <cfRule type="cellIs" dxfId="1432" priority="1410" stopIfTrue="1" operator="equal">
      <formula>"B1"</formula>
    </cfRule>
  </conditionalFormatting>
  <conditionalFormatting sqref="N8:N25">
    <cfRule type="cellIs" dxfId="1431" priority="1409" stopIfTrue="1" operator="equal">
      <formula>"B1"</formula>
    </cfRule>
  </conditionalFormatting>
  <conditionalFormatting sqref="N8:N25">
    <cfRule type="cellIs" dxfId="1430" priority="1408" stopIfTrue="1" operator="equal">
      <formula>"B1"</formula>
    </cfRule>
  </conditionalFormatting>
  <conditionalFormatting sqref="N8:N25">
    <cfRule type="cellIs" dxfId="1429" priority="1407" stopIfTrue="1" operator="equal">
      <formula>"B1"</formula>
    </cfRule>
  </conditionalFormatting>
  <conditionalFormatting sqref="N8:N25">
    <cfRule type="cellIs" dxfId="1428" priority="1406" stopIfTrue="1" operator="equal">
      <formula>"B1"</formula>
    </cfRule>
  </conditionalFormatting>
  <conditionalFormatting sqref="N8:N25">
    <cfRule type="cellIs" dxfId="1427" priority="1405" stopIfTrue="1" operator="equal">
      <formula>"B1"</formula>
    </cfRule>
  </conditionalFormatting>
  <conditionalFormatting sqref="N8:N25">
    <cfRule type="cellIs" dxfId="1426" priority="1404" stopIfTrue="1" operator="equal">
      <formula>"B1"</formula>
    </cfRule>
  </conditionalFormatting>
  <conditionalFormatting sqref="N8:N25">
    <cfRule type="cellIs" dxfId="1425" priority="1403" stopIfTrue="1" operator="equal">
      <formula>"B1"</formula>
    </cfRule>
  </conditionalFormatting>
  <conditionalFormatting sqref="N8:N25">
    <cfRule type="cellIs" dxfId="1424" priority="1402" stopIfTrue="1" operator="equal">
      <formula>"B1"</formula>
    </cfRule>
  </conditionalFormatting>
  <conditionalFormatting sqref="N8:N25">
    <cfRule type="cellIs" dxfId="1423" priority="1401" stopIfTrue="1" operator="equal">
      <formula>"B1"</formula>
    </cfRule>
  </conditionalFormatting>
  <conditionalFormatting sqref="N8:N25">
    <cfRule type="cellIs" dxfId="1422" priority="1400" stopIfTrue="1" operator="equal">
      <formula>"B1"</formula>
    </cfRule>
  </conditionalFormatting>
  <conditionalFormatting sqref="N8:N25">
    <cfRule type="cellIs" dxfId="1421" priority="1399" stopIfTrue="1" operator="equal">
      <formula>"B1"</formula>
    </cfRule>
  </conditionalFormatting>
  <conditionalFormatting sqref="N8:N25">
    <cfRule type="cellIs" dxfId="1420" priority="1398" stopIfTrue="1" operator="equal">
      <formula>"B1"</formula>
    </cfRule>
  </conditionalFormatting>
  <conditionalFormatting sqref="N8:N25">
    <cfRule type="cellIs" dxfId="1419" priority="1397" stopIfTrue="1" operator="equal">
      <formula>"B1"</formula>
    </cfRule>
  </conditionalFormatting>
  <conditionalFormatting sqref="N8:N25">
    <cfRule type="cellIs" dxfId="1418" priority="1396" stopIfTrue="1" operator="equal">
      <formula>"B1"</formula>
    </cfRule>
  </conditionalFormatting>
  <conditionalFormatting sqref="N8:N25">
    <cfRule type="cellIs" dxfId="1417" priority="1395" stopIfTrue="1" operator="equal">
      <formula>"B1"</formula>
    </cfRule>
  </conditionalFormatting>
  <conditionalFormatting sqref="N8:N25">
    <cfRule type="cellIs" dxfId="1416" priority="1394" stopIfTrue="1" operator="equal">
      <formula>"B1"</formula>
    </cfRule>
  </conditionalFormatting>
  <conditionalFormatting sqref="N8:N25">
    <cfRule type="cellIs" dxfId="1415" priority="1393" stopIfTrue="1" operator="equal">
      <formula>"B1"</formula>
    </cfRule>
  </conditionalFormatting>
  <conditionalFormatting sqref="N8:N25">
    <cfRule type="cellIs" dxfId="1414" priority="1392" stopIfTrue="1" operator="equal">
      <formula>"B1"</formula>
    </cfRule>
  </conditionalFormatting>
  <conditionalFormatting sqref="N8:N25">
    <cfRule type="cellIs" dxfId="1413" priority="1391" stopIfTrue="1" operator="equal">
      <formula>"B1"</formula>
    </cfRule>
  </conditionalFormatting>
  <conditionalFormatting sqref="N8:N25">
    <cfRule type="cellIs" dxfId="1412" priority="1390" stopIfTrue="1" operator="equal">
      <formula>"B1"</formula>
    </cfRule>
  </conditionalFormatting>
  <conditionalFormatting sqref="N8:N25">
    <cfRule type="cellIs" dxfId="1411" priority="1389" stopIfTrue="1" operator="equal">
      <formula>"B1"</formula>
    </cfRule>
  </conditionalFormatting>
  <conditionalFormatting sqref="N8:N25">
    <cfRule type="cellIs" dxfId="1410" priority="1388" stopIfTrue="1" operator="equal">
      <formula>"B1"</formula>
    </cfRule>
  </conditionalFormatting>
  <conditionalFormatting sqref="O11:O25">
    <cfRule type="cellIs" dxfId="1409" priority="1387" stopIfTrue="1" operator="equal">
      <formula>IF(AND(OR(#REF!="W",#REF!="Q",#REF!="J"),$J11&lt;150),100)</formula>
    </cfRule>
  </conditionalFormatting>
  <conditionalFormatting sqref="O11:O25">
    <cfRule type="cellIs" dxfId="1408" priority="1386" stopIfTrue="1" operator="equal">
      <formula>"B1"</formula>
    </cfRule>
  </conditionalFormatting>
  <conditionalFormatting sqref="O11:O25">
    <cfRule type="cellIs" dxfId="1407" priority="1385" stopIfTrue="1" operator="equal">
      <formula>"B1"</formula>
    </cfRule>
  </conditionalFormatting>
  <conditionalFormatting sqref="O11:O25">
    <cfRule type="cellIs" dxfId="1406" priority="1384" stopIfTrue="1" operator="equal">
      <formula>"B1"</formula>
    </cfRule>
  </conditionalFormatting>
  <conditionalFormatting sqref="O11:O25">
    <cfRule type="cellIs" dxfId="1405" priority="1383" stopIfTrue="1" operator="equal">
      <formula>"B1"</formula>
    </cfRule>
  </conditionalFormatting>
  <conditionalFormatting sqref="O11:O25">
    <cfRule type="cellIs" dxfId="1404" priority="1382" stopIfTrue="1" operator="equal">
      <formula>"B1"</formula>
    </cfRule>
  </conditionalFormatting>
  <conditionalFormatting sqref="O11:O25">
    <cfRule type="cellIs" dxfId="1403" priority="1381" stopIfTrue="1" operator="equal">
      <formula>"B1"</formula>
    </cfRule>
  </conditionalFormatting>
  <conditionalFormatting sqref="O11:O25">
    <cfRule type="cellIs" dxfId="1402" priority="1380" stopIfTrue="1" operator="equal">
      <formula>"B1"</formula>
    </cfRule>
  </conditionalFormatting>
  <conditionalFormatting sqref="O11:O25">
    <cfRule type="cellIs" dxfId="1401" priority="1379" stopIfTrue="1" operator="equal">
      <formula>"B1"</formula>
    </cfRule>
  </conditionalFormatting>
  <conditionalFormatting sqref="O11:O25">
    <cfRule type="cellIs" dxfId="1400" priority="1378" stopIfTrue="1" operator="equal">
      <formula>IF(AND(OR(#REF!="W",#REF!="Q",#REF!="J"),$J11&lt;150),100)</formula>
    </cfRule>
  </conditionalFormatting>
  <conditionalFormatting sqref="O11:O25">
    <cfRule type="cellIs" dxfId="1399" priority="1377" stopIfTrue="1" operator="equal">
      <formula>"B1"</formula>
    </cfRule>
  </conditionalFormatting>
  <conditionalFormatting sqref="O11:O25">
    <cfRule type="cellIs" dxfId="1398" priority="1376" stopIfTrue="1" operator="equal">
      <formula>"B1"</formula>
    </cfRule>
  </conditionalFormatting>
  <conditionalFormatting sqref="O11:O25">
    <cfRule type="cellIs" dxfId="1397" priority="1375" stopIfTrue="1" operator="equal">
      <formula>"B1"</formula>
    </cfRule>
  </conditionalFormatting>
  <conditionalFormatting sqref="O11:O25">
    <cfRule type="cellIs" dxfId="1396" priority="1374" stopIfTrue="1" operator="equal">
      <formula>"B1"</formula>
    </cfRule>
  </conditionalFormatting>
  <conditionalFormatting sqref="O11:O25">
    <cfRule type="cellIs" dxfId="1395" priority="1373" stopIfTrue="1" operator="equal">
      <formula>"B1"</formula>
    </cfRule>
  </conditionalFormatting>
  <conditionalFormatting sqref="O11:O25">
    <cfRule type="cellIs" dxfId="1394" priority="1372" stopIfTrue="1" operator="equal">
      <formula>"B1"</formula>
    </cfRule>
  </conditionalFormatting>
  <conditionalFormatting sqref="O11:O25">
    <cfRule type="cellIs" dxfId="1393" priority="1371" stopIfTrue="1" operator="equal">
      <formula>"B1"</formula>
    </cfRule>
  </conditionalFormatting>
  <conditionalFormatting sqref="O11:O25">
    <cfRule type="cellIs" dxfId="1392" priority="1370" stopIfTrue="1" operator="equal">
      <formula>"B1"</formula>
    </cfRule>
  </conditionalFormatting>
  <conditionalFormatting sqref="O11:O25">
    <cfRule type="cellIs" dxfId="1391" priority="1369" stopIfTrue="1" operator="equal">
      <formula>IF(AND(OR(#REF!="W",#REF!="Q",#REF!="J"),$J11&lt;150),100)</formula>
    </cfRule>
  </conditionalFormatting>
  <conditionalFormatting sqref="O11:O25">
    <cfRule type="cellIs" dxfId="1390" priority="1368" stopIfTrue="1" operator="equal">
      <formula>"B1"</formula>
    </cfRule>
  </conditionalFormatting>
  <conditionalFormatting sqref="O11:O25">
    <cfRule type="cellIs" dxfId="1389" priority="1367" stopIfTrue="1" operator="equal">
      <formula>"B1"</formula>
    </cfRule>
  </conditionalFormatting>
  <conditionalFormatting sqref="O11:O25">
    <cfRule type="cellIs" dxfId="1388" priority="1366" stopIfTrue="1" operator="equal">
      <formula>"B1"</formula>
    </cfRule>
  </conditionalFormatting>
  <conditionalFormatting sqref="O11:O25">
    <cfRule type="cellIs" dxfId="1387" priority="1365" stopIfTrue="1" operator="equal">
      <formula>"B1"</formula>
    </cfRule>
  </conditionalFormatting>
  <conditionalFormatting sqref="O11:O25">
    <cfRule type="cellIs" dxfId="1386" priority="1364" stopIfTrue="1" operator="equal">
      <formula>"B1"</formula>
    </cfRule>
  </conditionalFormatting>
  <conditionalFormatting sqref="O11:O25">
    <cfRule type="cellIs" dxfId="1385" priority="1363" stopIfTrue="1" operator="equal">
      <formula>"B1"</formula>
    </cfRule>
  </conditionalFormatting>
  <conditionalFormatting sqref="O11:O25">
    <cfRule type="cellIs" dxfId="1384" priority="1362" stopIfTrue="1" operator="equal">
      <formula>"B1"</formula>
    </cfRule>
  </conditionalFormatting>
  <conditionalFormatting sqref="O11:O25">
    <cfRule type="cellIs" dxfId="1383" priority="1361" stopIfTrue="1" operator="equal">
      <formula>"B1"</formula>
    </cfRule>
  </conditionalFormatting>
  <conditionalFormatting sqref="O11:O25">
    <cfRule type="cellIs" dxfId="1382" priority="1360" stopIfTrue="1" operator="equal">
      <formula>IF(AND(OR(#REF!="W",#REF!="Q",#REF!="J"),$J11&lt;150),100)</formula>
    </cfRule>
  </conditionalFormatting>
  <conditionalFormatting sqref="O11:O25">
    <cfRule type="cellIs" dxfId="1381" priority="1359" stopIfTrue="1" operator="equal">
      <formula>"B1"</formula>
    </cfRule>
  </conditionalFormatting>
  <conditionalFormatting sqref="O11:O25">
    <cfRule type="cellIs" dxfId="1380" priority="1358" stopIfTrue="1" operator="equal">
      <formula>"B1"</formula>
    </cfRule>
  </conditionalFormatting>
  <conditionalFormatting sqref="O11:O25">
    <cfRule type="cellIs" dxfId="1379" priority="1357" stopIfTrue="1" operator="equal">
      <formula>"B1"</formula>
    </cfRule>
  </conditionalFormatting>
  <conditionalFormatting sqref="O11:O25">
    <cfRule type="cellIs" dxfId="1378" priority="1356" stopIfTrue="1" operator="equal">
      <formula>"B1"</formula>
    </cfRule>
  </conditionalFormatting>
  <conditionalFormatting sqref="O11:O25">
    <cfRule type="cellIs" dxfId="1377" priority="1355" stopIfTrue="1" operator="equal">
      <formula>"B1"</formula>
    </cfRule>
  </conditionalFormatting>
  <conditionalFormatting sqref="O11:O25">
    <cfRule type="cellIs" dxfId="1376" priority="1354" stopIfTrue="1" operator="equal">
      <formula>"B1"</formula>
    </cfRule>
  </conditionalFormatting>
  <conditionalFormatting sqref="O11:O25">
    <cfRule type="cellIs" dxfId="1375" priority="1353" stopIfTrue="1" operator="equal">
      <formula>"B1"</formula>
    </cfRule>
  </conditionalFormatting>
  <conditionalFormatting sqref="O11:O25">
    <cfRule type="cellIs" dxfId="1374" priority="1352" stopIfTrue="1" operator="equal">
      <formula>"B1"</formula>
    </cfRule>
  </conditionalFormatting>
  <conditionalFormatting sqref="Q9:Q25">
    <cfRule type="cellIs" dxfId="1373" priority="127" stopIfTrue="1" operator="equal">
      <formula>IF(AND(OR(#REF!="W",#REF!="Q",#REF!="J"),$J9&lt;150),100)</formula>
    </cfRule>
  </conditionalFormatting>
  <conditionalFormatting sqref="Q9:Q25">
    <cfRule type="cellIs" dxfId="1372" priority="126" stopIfTrue="1" operator="equal">
      <formula>"B1"</formula>
    </cfRule>
  </conditionalFormatting>
  <conditionalFormatting sqref="Q9:Q25">
    <cfRule type="cellIs" dxfId="1371" priority="125" stopIfTrue="1" operator="equal">
      <formula>"B1"</formula>
    </cfRule>
  </conditionalFormatting>
  <conditionalFormatting sqref="Q9:Q25">
    <cfRule type="cellIs" dxfId="1370" priority="124" stopIfTrue="1" operator="equal">
      <formula>"B1"</formula>
    </cfRule>
  </conditionalFormatting>
  <conditionalFormatting sqref="Q9:Q25">
    <cfRule type="cellIs" dxfId="1369" priority="123" stopIfTrue="1" operator="equal">
      <formula>"B1"</formula>
    </cfRule>
  </conditionalFormatting>
  <conditionalFormatting sqref="Q9:Q25">
    <cfRule type="cellIs" dxfId="1368" priority="122" stopIfTrue="1" operator="equal">
      <formula>"B1"</formula>
    </cfRule>
  </conditionalFormatting>
  <conditionalFormatting sqref="Q9:Q25">
    <cfRule type="cellIs" dxfId="1367" priority="121" stopIfTrue="1" operator="equal">
      <formula>"B1"</formula>
    </cfRule>
  </conditionalFormatting>
  <conditionalFormatting sqref="Q9:Q25">
    <cfRule type="cellIs" dxfId="1366" priority="120" stopIfTrue="1" operator="equal">
      <formula>"B1"</formula>
    </cfRule>
  </conditionalFormatting>
  <conditionalFormatting sqref="Q9:Q25">
    <cfRule type="cellIs" dxfId="1365" priority="119" stopIfTrue="1" operator="equal">
      <formula>"B1"</formula>
    </cfRule>
  </conditionalFormatting>
  <conditionalFormatting sqref="Q9:Q25">
    <cfRule type="cellIs" dxfId="1364" priority="118" stopIfTrue="1" operator="equal">
      <formula>IF(AND(OR(#REF!="W",#REF!="Q",#REF!="J"),$J9&lt;150),100)</formula>
    </cfRule>
  </conditionalFormatting>
  <conditionalFormatting sqref="Q9:Q25">
    <cfRule type="cellIs" dxfId="1363" priority="117" stopIfTrue="1" operator="equal">
      <formula>"B1"</formula>
    </cfRule>
  </conditionalFormatting>
  <conditionalFormatting sqref="Q9:Q25">
    <cfRule type="cellIs" dxfId="1362" priority="116" stopIfTrue="1" operator="equal">
      <formula>"B1"</formula>
    </cfRule>
  </conditionalFormatting>
  <conditionalFormatting sqref="Q9:Q25">
    <cfRule type="cellIs" dxfId="1361" priority="115" stopIfTrue="1" operator="equal">
      <formula>"B1"</formula>
    </cfRule>
  </conditionalFormatting>
  <conditionalFormatting sqref="Q9:Q25">
    <cfRule type="cellIs" dxfId="1360" priority="114" stopIfTrue="1" operator="equal">
      <formula>"B1"</formula>
    </cfRule>
  </conditionalFormatting>
  <conditionalFormatting sqref="Q9:Q25">
    <cfRule type="cellIs" dxfId="1359" priority="113" stopIfTrue="1" operator="equal">
      <formula>"B1"</formula>
    </cfRule>
  </conditionalFormatting>
  <conditionalFormatting sqref="Q9:Q25">
    <cfRule type="cellIs" dxfId="1358" priority="112" stopIfTrue="1" operator="equal">
      <formula>"B1"</formula>
    </cfRule>
  </conditionalFormatting>
  <conditionalFormatting sqref="Q9:Q25">
    <cfRule type="cellIs" dxfId="1357" priority="111" stopIfTrue="1" operator="equal">
      <formula>"B1"</formula>
    </cfRule>
  </conditionalFormatting>
  <conditionalFormatting sqref="Q9:Q25">
    <cfRule type="cellIs" dxfId="1356" priority="110" stopIfTrue="1" operator="equal">
      <formula>"B1"</formula>
    </cfRule>
  </conditionalFormatting>
  <conditionalFormatting sqref="Q9:Q25">
    <cfRule type="cellIs" dxfId="1355" priority="109" stopIfTrue="1" operator="equal">
      <formula>IF(AND(OR(#REF!="W",#REF!="Q",#REF!="J"),$J9&lt;150),100)</formula>
    </cfRule>
  </conditionalFormatting>
  <conditionalFormatting sqref="Q9:Q25">
    <cfRule type="cellIs" dxfId="1354" priority="108" stopIfTrue="1" operator="equal">
      <formula>"B1"</formula>
    </cfRule>
  </conditionalFormatting>
  <conditionalFormatting sqref="Q9:Q25">
    <cfRule type="cellIs" dxfId="1353" priority="107" stopIfTrue="1" operator="equal">
      <formula>"B1"</formula>
    </cfRule>
  </conditionalFormatting>
  <conditionalFormatting sqref="Q9:Q25">
    <cfRule type="cellIs" dxfId="1352" priority="106" stopIfTrue="1" operator="equal">
      <formula>"B1"</formula>
    </cfRule>
  </conditionalFormatting>
  <conditionalFormatting sqref="Q9:Q25">
    <cfRule type="cellIs" dxfId="1351" priority="105" stopIfTrue="1" operator="equal">
      <formula>"B1"</formula>
    </cfRule>
  </conditionalFormatting>
  <conditionalFormatting sqref="Q9:Q25">
    <cfRule type="cellIs" dxfId="1350" priority="104" stopIfTrue="1" operator="equal">
      <formula>"B1"</formula>
    </cfRule>
  </conditionalFormatting>
  <conditionalFormatting sqref="Q9:Q25">
    <cfRule type="cellIs" dxfId="1349" priority="103" stopIfTrue="1" operator="equal">
      <formula>"B1"</formula>
    </cfRule>
  </conditionalFormatting>
  <conditionalFormatting sqref="Q9:Q25">
    <cfRule type="cellIs" dxfId="1348" priority="102" stopIfTrue="1" operator="equal">
      <formula>"B1"</formula>
    </cfRule>
  </conditionalFormatting>
  <conditionalFormatting sqref="Q9:Q25">
    <cfRule type="cellIs" dxfId="1347" priority="101" stopIfTrue="1" operator="equal">
      <formula>"B1"</formula>
    </cfRule>
  </conditionalFormatting>
  <conditionalFormatting sqref="Q9:Q25">
    <cfRule type="cellIs" dxfId="1346" priority="100" stopIfTrue="1" operator="equal">
      <formula>IF(AND(OR(#REF!="W",#REF!="Q",#REF!="J"),$J9&lt;150),100)</formula>
    </cfRule>
  </conditionalFormatting>
  <conditionalFormatting sqref="Q9:Q25">
    <cfRule type="cellIs" dxfId="1345" priority="99" stopIfTrue="1" operator="equal">
      <formula>"B1"</formula>
    </cfRule>
  </conditionalFormatting>
  <conditionalFormatting sqref="Q9:Q25">
    <cfRule type="cellIs" dxfId="1344" priority="98" stopIfTrue="1" operator="equal">
      <formula>"B1"</formula>
    </cfRule>
  </conditionalFormatting>
  <conditionalFormatting sqref="Q9:Q25">
    <cfRule type="cellIs" dxfId="1343" priority="97" stopIfTrue="1" operator="equal">
      <formula>"B1"</formula>
    </cfRule>
  </conditionalFormatting>
  <conditionalFormatting sqref="Q9:Q25">
    <cfRule type="cellIs" dxfId="1342" priority="96" stopIfTrue="1" operator="equal">
      <formula>"B1"</formula>
    </cfRule>
  </conditionalFormatting>
  <conditionalFormatting sqref="Q9:Q25">
    <cfRule type="cellIs" dxfId="1341" priority="95" stopIfTrue="1" operator="equal">
      <formula>"B1"</formula>
    </cfRule>
  </conditionalFormatting>
  <conditionalFormatting sqref="Q9:Q25">
    <cfRule type="cellIs" dxfId="1340" priority="94" stopIfTrue="1" operator="equal">
      <formula>"B1"</formula>
    </cfRule>
  </conditionalFormatting>
  <conditionalFormatting sqref="Q9:Q25">
    <cfRule type="cellIs" dxfId="1339" priority="93" stopIfTrue="1" operator="equal">
      <formula>"B1"</formula>
    </cfRule>
  </conditionalFormatting>
  <conditionalFormatting sqref="Q9:Q25">
    <cfRule type="cellIs" dxfId="1338" priority="92" stopIfTrue="1" operator="equal">
      <formula>"B1"</formula>
    </cfRule>
  </conditionalFormatting>
  <conditionalFormatting sqref="O11:O25">
    <cfRule type="cellIs" dxfId="1337" priority="1351" stopIfTrue="1" operator="equal">
      <formula>IF(AND(OR(#REF!="W",#REF!="Q",#REF!="J"),$J11&lt;150),100)</formula>
    </cfRule>
  </conditionalFormatting>
  <conditionalFormatting sqref="O11:O25">
    <cfRule type="cellIs" dxfId="1336" priority="1350" stopIfTrue="1" operator="equal">
      <formula>"B1"</formula>
    </cfRule>
  </conditionalFormatting>
  <conditionalFormatting sqref="O11:O25">
    <cfRule type="cellIs" dxfId="1335" priority="1349" stopIfTrue="1" operator="equal">
      <formula>"B1"</formula>
    </cfRule>
  </conditionalFormatting>
  <conditionalFormatting sqref="O11:O25">
    <cfRule type="cellIs" dxfId="1334" priority="1348" stopIfTrue="1" operator="equal">
      <formula>"B1"</formula>
    </cfRule>
  </conditionalFormatting>
  <conditionalFormatting sqref="O11:O25">
    <cfRule type="cellIs" dxfId="1333" priority="1347" stopIfTrue="1" operator="equal">
      <formula>"B1"</formula>
    </cfRule>
  </conditionalFormatting>
  <conditionalFormatting sqref="O11:O25">
    <cfRule type="cellIs" dxfId="1332" priority="1346" stopIfTrue="1" operator="equal">
      <formula>"B1"</formula>
    </cfRule>
  </conditionalFormatting>
  <conditionalFormatting sqref="O11:O25">
    <cfRule type="cellIs" dxfId="1331" priority="1345" stopIfTrue="1" operator="equal">
      <formula>"B1"</formula>
    </cfRule>
  </conditionalFormatting>
  <conditionalFormatting sqref="O11:O25">
    <cfRule type="cellIs" dxfId="1330" priority="1344" stopIfTrue="1" operator="equal">
      <formula>"B1"</formula>
    </cfRule>
  </conditionalFormatting>
  <conditionalFormatting sqref="O11:O25">
    <cfRule type="cellIs" dxfId="1329" priority="1343" stopIfTrue="1" operator="equal">
      <formula>"B1"</formula>
    </cfRule>
  </conditionalFormatting>
  <conditionalFormatting sqref="O11:O25">
    <cfRule type="cellIs" dxfId="1328" priority="1342" stopIfTrue="1" operator="equal">
      <formula>IF(AND(OR(#REF!="W",#REF!="Q",#REF!="J"),$J11&lt;150),100)</formula>
    </cfRule>
  </conditionalFormatting>
  <conditionalFormatting sqref="O11:O25">
    <cfRule type="cellIs" dxfId="1327" priority="1341" stopIfTrue="1" operator="equal">
      <formula>"B1"</formula>
    </cfRule>
  </conditionalFormatting>
  <conditionalFormatting sqref="O11:O25">
    <cfRule type="cellIs" dxfId="1326" priority="1340" stopIfTrue="1" operator="equal">
      <formula>"B1"</formula>
    </cfRule>
  </conditionalFormatting>
  <conditionalFormatting sqref="O11:O25">
    <cfRule type="cellIs" dxfId="1325" priority="1339" stopIfTrue="1" operator="equal">
      <formula>"B1"</formula>
    </cfRule>
  </conditionalFormatting>
  <conditionalFormatting sqref="O11:O25">
    <cfRule type="cellIs" dxfId="1324" priority="1338" stopIfTrue="1" operator="equal">
      <formula>"B1"</formula>
    </cfRule>
  </conditionalFormatting>
  <conditionalFormatting sqref="O11:O25">
    <cfRule type="cellIs" dxfId="1323" priority="1337" stopIfTrue="1" operator="equal">
      <formula>"B1"</formula>
    </cfRule>
  </conditionalFormatting>
  <conditionalFormatting sqref="O11:O25">
    <cfRule type="cellIs" dxfId="1322" priority="1336" stopIfTrue="1" operator="equal">
      <formula>"B1"</formula>
    </cfRule>
  </conditionalFormatting>
  <conditionalFormatting sqref="O11:O25">
    <cfRule type="cellIs" dxfId="1321" priority="1335" stopIfTrue="1" operator="equal">
      <formula>"B1"</formula>
    </cfRule>
  </conditionalFormatting>
  <conditionalFormatting sqref="O11:O25">
    <cfRule type="cellIs" dxfId="1320" priority="1334" stopIfTrue="1" operator="equal">
      <formula>"B1"</formula>
    </cfRule>
  </conditionalFormatting>
  <conditionalFormatting sqref="O11:O25">
    <cfRule type="cellIs" dxfId="1319" priority="1333" stopIfTrue="1" operator="equal">
      <formula>IF(AND(OR(#REF!="W",#REF!="Q",#REF!="J"),$J11&lt;150),100)</formula>
    </cfRule>
  </conditionalFormatting>
  <conditionalFormatting sqref="O11:O25">
    <cfRule type="cellIs" dxfId="1318" priority="1332" stopIfTrue="1" operator="equal">
      <formula>"B1"</formula>
    </cfRule>
  </conditionalFormatting>
  <conditionalFormatting sqref="O11:O25">
    <cfRule type="cellIs" dxfId="1317" priority="1331" stopIfTrue="1" operator="equal">
      <formula>"B1"</formula>
    </cfRule>
  </conditionalFormatting>
  <conditionalFormatting sqref="O11:O25">
    <cfRule type="cellIs" dxfId="1316" priority="1330" stopIfTrue="1" operator="equal">
      <formula>"B1"</formula>
    </cfRule>
  </conditionalFormatting>
  <conditionalFormatting sqref="O11:O25">
    <cfRule type="cellIs" dxfId="1315" priority="1329" stopIfTrue="1" operator="equal">
      <formula>"B1"</formula>
    </cfRule>
  </conditionalFormatting>
  <conditionalFormatting sqref="O11:O25">
    <cfRule type="cellIs" dxfId="1314" priority="1328" stopIfTrue="1" operator="equal">
      <formula>"B1"</formula>
    </cfRule>
  </conditionalFormatting>
  <conditionalFormatting sqref="O11:O25">
    <cfRule type="cellIs" dxfId="1313" priority="1327" stopIfTrue="1" operator="equal">
      <formula>"B1"</formula>
    </cfRule>
  </conditionalFormatting>
  <conditionalFormatting sqref="O11:O25">
    <cfRule type="cellIs" dxfId="1312" priority="1326" stopIfTrue="1" operator="equal">
      <formula>"B1"</formula>
    </cfRule>
  </conditionalFormatting>
  <conditionalFormatting sqref="O11:O25">
    <cfRule type="cellIs" dxfId="1311" priority="1325" stopIfTrue="1" operator="equal">
      <formula>"B1"</formula>
    </cfRule>
  </conditionalFormatting>
  <conditionalFormatting sqref="O11:O25">
    <cfRule type="cellIs" dxfId="1310" priority="1324" stopIfTrue="1" operator="equal">
      <formula>IF(AND(OR(#REF!="W",#REF!="Q",#REF!="J"),$J11&lt;150),100)</formula>
    </cfRule>
  </conditionalFormatting>
  <conditionalFormatting sqref="O11:O25">
    <cfRule type="cellIs" dxfId="1309" priority="1323" stopIfTrue="1" operator="equal">
      <formula>"B1"</formula>
    </cfRule>
  </conditionalFormatting>
  <conditionalFormatting sqref="O11:O25">
    <cfRule type="cellIs" dxfId="1308" priority="1322" stopIfTrue="1" operator="equal">
      <formula>"B1"</formula>
    </cfRule>
  </conditionalFormatting>
  <conditionalFormatting sqref="O11:O25">
    <cfRule type="cellIs" dxfId="1307" priority="1321" stopIfTrue="1" operator="equal">
      <formula>"B1"</formula>
    </cfRule>
  </conditionalFormatting>
  <conditionalFormatting sqref="O11:O25">
    <cfRule type="cellIs" dxfId="1306" priority="1320" stopIfTrue="1" operator="equal">
      <formula>"B1"</formula>
    </cfRule>
  </conditionalFormatting>
  <conditionalFormatting sqref="O11:O25">
    <cfRule type="cellIs" dxfId="1305" priority="1319" stopIfTrue="1" operator="equal">
      <formula>"B1"</formula>
    </cfRule>
  </conditionalFormatting>
  <conditionalFormatting sqref="O11:O25">
    <cfRule type="cellIs" dxfId="1304" priority="1318" stopIfTrue="1" operator="equal">
      <formula>"B1"</formula>
    </cfRule>
  </conditionalFormatting>
  <conditionalFormatting sqref="O11:O25">
    <cfRule type="cellIs" dxfId="1303" priority="1317" stopIfTrue="1" operator="equal">
      <formula>"B1"</formula>
    </cfRule>
  </conditionalFormatting>
  <conditionalFormatting sqref="O11:O25">
    <cfRule type="cellIs" dxfId="1302" priority="1316" stopIfTrue="1" operator="equal">
      <formula>"B1"</formula>
    </cfRule>
  </conditionalFormatting>
  <conditionalFormatting sqref="O10:O25">
    <cfRule type="cellIs" dxfId="1301" priority="1315" stopIfTrue="1" operator="equal">
      <formula>IF(AND(OR(#REF!="W",#REF!="Q",#REF!="J"),$J10&lt;150),100)</formula>
    </cfRule>
  </conditionalFormatting>
  <conditionalFormatting sqref="O10:O25">
    <cfRule type="cellIs" dxfId="1300" priority="1314" stopIfTrue="1" operator="equal">
      <formula>"B1"</formula>
    </cfRule>
  </conditionalFormatting>
  <conditionalFormatting sqref="O10:O25">
    <cfRule type="cellIs" dxfId="1299" priority="1313" stopIfTrue="1" operator="equal">
      <formula>"B1"</formula>
    </cfRule>
  </conditionalFormatting>
  <conditionalFormatting sqref="O10:O25">
    <cfRule type="cellIs" dxfId="1298" priority="1312" stopIfTrue="1" operator="equal">
      <formula>"B1"</formula>
    </cfRule>
  </conditionalFormatting>
  <conditionalFormatting sqref="O10:O25">
    <cfRule type="cellIs" dxfId="1297" priority="1311" stopIfTrue="1" operator="equal">
      <formula>"B1"</formula>
    </cfRule>
  </conditionalFormatting>
  <conditionalFormatting sqref="O10:O25">
    <cfRule type="cellIs" dxfId="1296" priority="1310" stopIfTrue="1" operator="equal">
      <formula>"B1"</formula>
    </cfRule>
  </conditionalFormatting>
  <conditionalFormatting sqref="O10:O25">
    <cfRule type="cellIs" dxfId="1295" priority="1309" stopIfTrue="1" operator="equal">
      <formula>"B1"</formula>
    </cfRule>
  </conditionalFormatting>
  <conditionalFormatting sqref="O10:O25">
    <cfRule type="cellIs" dxfId="1294" priority="1308" stopIfTrue="1" operator="equal">
      <formula>"B1"</formula>
    </cfRule>
  </conditionalFormatting>
  <conditionalFormatting sqref="O10:O25">
    <cfRule type="cellIs" dxfId="1293" priority="1307" stopIfTrue="1" operator="equal">
      <formula>"B1"</formula>
    </cfRule>
  </conditionalFormatting>
  <conditionalFormatting sqref="O10:O25">
    <cfRule type="cellIs" dxfId="1292" priority="1306" stopIfTrue="1" operator="equal">
      <formula>IF(AND(OR(#REF!="W",#REF!="Q",#REF!="J"),$J10&lt;150),100)</formula>
    </cfRule>
  </conditionalFormatting>
  <conditionalFormatting sqref="O10:O25">
    <cfRule type="cellIs" dxfId="1291" priority="1305" stopIfTrue="1" operator="equal">
      <formula>"B1"</formula>
    </cfRule>
  </conditionalFormatting>
  <conditionalFormatting sqref="O10:O25">
    <cfRule type="cellIs" dxfId="1290" priority="1304" stopIfTrue="1" operator="equal">
      <formula>"B1"</formula>
    </cfRule>
  </conditionalFormatting>
  <conditionalFormatting sqref="O10:O25">
    <cfRule type="cellIs" dxfId="1289" priority="1303" stopIfTrue="1" operator="equal">
      <formula>"B1"</formula>
    </cfRule>
  </conditionalFormatting>
  <conditionalFormatting sqref="O10:O25">
    <cfRule type="cellIs" dxfId="1288" priority="1302" stopIfTrue="1" operator="equal">
      <formula>"B1"</formula>
    </cfRule>
  </conditionalFormatting>
  <conditionalFormatting sqref="O10:O25">
    <cfRule type="cellIs" dxfId="1287" priority="1301" stopIfTrue="1" operator="equal">
      <formula>"B1"</formula>
    </cfRule>
  </conditionalFormatting>
  <conditionalFormatting sqref="O10:O25">
    <cfRule type="cellIs" dxfId="1286" priority="1300" stopIfTrue="1" operator="equal">
      <formula>"B1"</formula>
    </cfRule>
  </conditionalFormatting>
  <conditionalFormatting sqref="O10:O25">
    <cfRule type="cellIs" dxfId="1285" priority="1299" stopIfTrue="1" operator="equal">
      <formula>"B1"</formula>
    </cfRule>
  </conditionalFormatting>
  <conditionalFormatting sqref="O10:O25">
    <cfRule type="cellIs" dxfId="1284" priority="1298" stopIfTrue="1" operator="equal">
      <formula>"B1"</formula>
    </cfRule>
  </conditionalFormatting>
  <conditionalFormatting sqref="O10:O25">
    <cfRule type="cellIs" dxfId="1283" priority="1297" stopIfTrue="1" operator="equal">
      <formula>IF(AND(OR(#REF!="W",#REF!="Q",#REF!="J"),$J10&lt;150),100)</formula>
    </cfRule>
  </conditionalFormatting>
  <conditionalFormatting sqref="O10:O25">
    <cfRule type="cellIs" dxfId="1282" priority="1296" stopIfTrue="1" operator="equal">
      <formula>"B1"</formula>
    </cfRule>
  </conditionalFormatting>
  <conditionalFormatting sqref="O10:O25">
    <cfRule type="cellIs" dxfId="1281" priority="1295" stopIfTrue="1" operator="equal">
      <formula>"B1"</formula>
    </cfRule>
  </conditionalFormatting>
  <conditionalFormatting sqref="O10:O25">
    <cfRule type="cellIs" dxfId="1280" priority="1294" stopIfTrue="1" operator="equal">
      <formula>"B1"</formula>
    </cfRule>
  </conditionalFormatting>
  <conditionalFormatting sqref="O10:O25">
    <cfRule type="cellIs" dxfId="1279" priority="1293" stopIfTrue="1" operator="equal">
      <formula>"B1"</formula>
    </cfRule>
  </conditionalFormatting>
  <conditionalFormatting sqref="O10:O25">
    <cfRule type="cellIs" dxfId="1278" priority="1292" stopIfTrue="1" operator="equal">
      <formula>"B1"</formula>
    </cfRule>
  </conditionalFormatting>
  <conditionalFormatting sqref="O10:O25">
    <cfRule type="cellIs" dxfId="1277" priority="1291" stopIfTrue="1" operator="equal">
      <formula>"B1"</formula>
    </cfRule>
  </conditionalFormatting>
  <conditionalFormatting sqref="O10:O25">
    <cfRule type="cellIs" dxfId="1276" priority="1290" stopIfTrue="1" operator="equal">
      <formula>"B1"</formula>
    </cfRule>
  </conditionalFormatting>
  <conditionalFormatting sqref="O10:O25">
    <cfRule type="cellIs" dxfId="1275" priority="1289" stopIfTrue="1" operator="equal">
      <formula>"B1"</formula>
    </cfRule>
  </conditionalFormatting>
  <conditionalFormatting sqref="O10:O25">
    <cfRule type="cellIs" dxfId="1274" priority="1288" stopIfTrue="1" operator="equal">
      <formula>IF(AND(OR(#REF!="W",#REF!="Q",#REF!="J"),$J10&lt;150),100)</formula>
    </cfRule>
  </conditionalFormatting>
  <conditionalFormatting sqref="O10:O25">
    <cfRule type="cellIs" dxfId="1273" priority="1287" stopIfTrue="1" operator="equal">
      <formula>"B1"</formula>
    </cfRule>
  </conditionalFormatting>
  <conditionalFormatting sqref="O10:O25">
    <cfRule type="cellIs" dxfId="1272" priority="1286" stopIfTrue="1" operator="equal">
      <formula>"B1"</formula>
    </cfRule>
  </conditionalFormatting>
  <conditionalFormatting sqref="O10:O25">
    <cfRule type="cellIs" dxfId="1271" priority="1285" stopIfTrue="1" operator="equal">
      <formula>"B1"</formula>
    </cfRule>
  </conditionalFormatting>
  <conditionalFormatting sqref="O10:O25">
    <cfRule type="cellIs" dxfId="1270" priority="1284" stopIfTrue="1" operator="equal">
      <formula>"B1"</formula>
    </cfRule>
  </conditionalFormatting>
  <conditionalFormatting sqref="O10:O25">
    <cfRule type="cellIs" dxfId="1269" priority="1283" stopIfTrue="1" operator="equal">
      <formula>"B1"</formula>
    </cfRule>
  </conditionalFormatting>
  <conditionalFormatting sqref="O10:O25">
    <cfRule type="cellIs" dxfId="1268" priority="1282" stopIfTrue="1" operator="equal">
      <formula>"B1"</formula>
    </cfRule>
  </conditionalFormatting>
  <conditionalFormatting sqref="O10:O25">
    <cfRule type="cellIs" dxfId="1267" priority="1281" stopIfTrue="1" operator="equal">
      <formula>"B1"</formula>
    </cfRule>
  </conditionalFormatting>
  <conditionalFormatting sqref="O10:O25">
    <cfRule type="cellIs" dxfId="1266" priority="1280" stopIfTrue="1" operator="equal">
      <formula>"B1"</formula>
    </cfRule>
  </conditionalFormatting>
  <conditionalFormatting sqref="Q9:Q25">
    <cfRule type="cellIs" dxfId="1265" priority="91" stopIfTrue="1" operator="equal">
      <formula>IF(AND(OR(#REF!="W",#REF!="Q",#REF!="J"),$J9&lt;150),100)</formula>
    </cfRule>
  </conditionalFormatting>
  <conditionalFormatting sqref="Q9:Q25">
    <cfRule type="cellIs" dxfId="1264" priority="90" stopIfTrue="1" operator="equal">
      <formula>"B1"</formula>
    </cfRule>
  </conditionalFormatting>
  <conditionalFormatting sqref="Q9:Q25">
    <cfRule type="cellIs" dxfId="1263" priority="89" stopIfTrue="1" operator="equal">
      <formula>"B1"</formula>
    </cfRule>
  </conditionalFormatting>
  <conditionalFormatting sqref="Q9:Q25">
    <cfRule type="cellIs" dxfId="1262" priority="88" stopIfTrue="1" operator="equal">
      <formula>"B1"</formula>
    </cfRule>
  </conditionalFormatting>
  <conditionalFormatting sqref="Q9:Q25">
    <cfRule type="cellIs" dxfId="1261" priority="87" stopIfTrue="1" operator="equal">
      <formula>"B1"</formula>
    </cfRule>
  </conditionalFormatting>
  <conditionalFormatting sqref="Q9:Q25">
    <cfRule type="cellIs" dxfId="1260" priority="86" stopIfTrue="1" operator="equal">
      <formula>"B1"</formula>
    </cfRule>
  </conditionalFormatting>
  <conditionalFormatting sqref="Q9:Q25">
    <cfRule type="cellIs" dxfId="1259" priority="85" stopIfTrue="1" operator="equal">
      <formula>"B1"</formula>
    </cfRule>
  </conditionalFormatting>
  <conditionalFormatting sqref="Q9:Q25">
    <cfRule type="cellIs" dxfId="1258" priority="84" stopIfTrue="1" operator="equal">
      <formula>"B1"</formula>
    </cfRule>
  </conditionalFormatting>
  <conditionalFormatting sqref="Q9:Q25">
    <cfRule type="cellIs" dxfId="1257" priority="83" stopIfTrue="1" operator="equal">
      <formula>"B1"</formula>
    </cfRule>
  </conditionalFormatting>
  <conditionalFormatting sqref="Q9:Q25">
    <cfRule type="cellIs" dxfId="1256" priority="82" stopIfTrue="1" operator="equal">
      <formula>IF(AND(OR(#REF!="W",#REF!="Q",#REF!="J"),$J9&lt;150),100)</formula>
    </cfRule>
  </conditionalFormatting>
  <conditionalFormatting sqref="Q9:Q25">
    <cfRule type="cellIs" dxfId="1255" priority="81" stopIfTrue="1" operator="equal">
      <formula>"B1"</formula>
    </cfRule>
  </conditionalFormatting>
  <conditionalFormatting sqref="Q9:Q25">
    <cfRule type="cellIs" dxfId="1254" priority="80" stopIfTrue="1" operator="equal">
      <formula>"B1"</formula>
    </cfRule>
  </conditionalFormatting>
  <conditionalFormatting sqref="Q9:Q25">
    <cfRule type="cellIs" dxfId="1253" priority="79" stopIfTrue="1" operator="equal">
      <formula>"B1"</formula>
    </cfRule>
  </conditionalFormatting>
  <conditionalFormatting sqref="Q9:Q25">
    <cfRule type="cellIs" dxfId="1252" priority="78" stopIfTrue="1" operator="equal">
      <formula>"B1"</formula>
    </cfRule>
  </conditionalFormatting>
  <conditionalFormatting sqref="Q9:Q25">
    <cfRule type="cellIs" dxfId="1251" priority="77" stopIfTrue="1" operator="equal">
      <formula>"B1"</formula>
    </cfRule>
  </conditionalFormatting>
  <conditionalFormatting sqref="Q9:Q25">
    <cfRule type="cellIs" dxfId="1250" priority="76" stopIfTrue="1" operator="equal">
      <formula>"B1"</formula>
    </cfRule>
  </conditionalFormatting>
  <conditionalFormatting sqref="Q9:Q25">
    <cfRule type="cellIs" dxfId="1249" priority="75" stopIfTrue="1" operator="equal">
      <formula>"B1"</formula>
    </cfRule>
  </conditionalFormatting>
  <conditionalFormatting sqref="Q9:Q25">
    <cfRule type="cellIs" dxfId="1248" priority="74" stopIfTrue="1" operator="equal">
      <formula>"B1"</formula>
    </cfRule>
  </conditionalFormatting>
  <conditionalFormatting sqref="Q9:Q25">
    <cfRule type="cellIs" dxfId="1247" priority="73" stopIfTrue="1" operator="equal">
      <formula>IF(AND(OR(#REF!="W",#REF!="Q",#REF!="J"),$J9&lt;150),100)</formula>
    </cfRule>
  </conditionalFormatting>
  <conditionalFormatting sqref="Q9:Q25">
    <cfRule type="cellIs" dxfId="1246" priority="72" stopIfTrue="1" operator="equal">
      <formula>"B1"</formula>
    </cfRule>
  </conditionalFormatting>
  <conditionalFormatting sqref="Q9:Q25">
    <cfRule type="cellIs" dxfId="1245" priority="71" stopIfTrue="1" operator="equal">
      <formula>"B1"</formula>
    </cfRule>
  </conditionalFormatting>
  <conditionalFormatting sqref="Q9:Q25">
    <cfRule type="cellIs" dxfId="1244" priority="70" stopIfTrue="1" operator="equal">
      <formula>"B1"</formula>
    </cfRule>
  </conditionalFormatting>
  <conditionalFormatting sqref="Q9:Q25">
    <cfRule type="cellIs" dxfId="1243" priority="69" stopIfTrue="1" operator="equal">
      <formula>"B1"</formula>
    </cfRule>
  </conditionalFormatting>
  <conditionalFormatting sqref="Q9:Q25">
    <cfRule type="cellIs" dxfId="1242" priority="68" stopIfTrue="1" operator="equal">
      <formula>"B1"</formula>
    </cfRule>
  </conditionalFormatting>
  <conditionalFormatting sqref="Q9:Q25">
    <cfRule type="cellIs" dxfId="1241" priority="67" stopIfTrue="1" operator="equal">
      <formula>"B1"</formula>
    </cfRule>
  </conditionalFormatting>
  <conditionalFormatting sqref="Q9:Q25">
    <cfRule type="cellIs" dxfId="1240" priority="66" stopIfTrue="1" operator="equal">
      <formula>"B1"</formula>
    </cfRule>
  </conditionalFormatting>
  <conditionalFormatting sqref="Q9:Q25">
    <cfRule type="cellIs" dxfId="1239" priority="65" stopIfTrue="1" operator="equal">
      <formula>"B1"</formula>
    </cfRule>
  </conditionalFormatting>
  <conditionalFormatting sqref="Q9:Q25">
    <cfRule type="cellIs" dxfId="1238" priority="64" stopIfTrue="1" operator="equal">
      <formula>IF(AND(OR(#REF!="W",#REF!="Q",#REF!="J"),$J9&lt;150),100)</formula>
    </cfRule>
  </conditionalFormatting>
  <conditionalFormatting sqref="Q9:Q25">
    <cfRule type="cellIs" dxfId="1237" priority="63" stopIfTrue="1" operator="equal">
      <formula>"B1"</formula>
    </cfRule>
  </conditionalFormatting>
  <conditionalFormatting sqref="Q9:Q25">
    <cfRule type="cellIs" dxfId="1236" priority="62" stopIfTrue="1" operator="equal">
      <formula>"B1"</formula>
    </cfRule>
  </conditionalFormatting>
  <conditionalFormatting sqref="Q9:Q25">
    <cfRule type="cellIs" dxfId="1235" priority="61" stopIfTrue="1" operator="equal">
      <formula>"B1"</formula>
    </cfRule>
  </conditionalFormatting>
  <conditionalFormatting sqref="Q9:Q25">
    <cfRule type="cellIs" dxfId="1234" priority="60" stopIfTrue="1" operator="equal">
      <formula>"B1"</formula>
    </cfRule>
  </conditionalFormatting>
  <conditionalFormatting sqref="Q9:Q25">
    <cfRule type="cellIs" dxfId="1233" priority="59" stopIfTrue="1" operator="equal">
      <formula>"B1"</formula>
    </cfRule>
  </conditionalFormatting>
  <conditionalFormatting sqref="Q9:Q25">
    <cfRule type="cellIs" dxfId="1232" priority="58" stopIfTrue="1" operator="equal">
      <formula>"B1"</formula>
    </cfRule>
  </conditionalFormatting>
  <conditionalFormatting sqref="Q9:Q25">
    <cfRule type="cellIs" dxfId="1231" priority="57" stopIfTrue="1" operator="equal">
      <formula>"B1"</formula>
    </cfRule>
  </conditionalFormatting>
  <conditionalFormatting sqref="Q9:Q25">
    <cfRule type="cellIs" dxfId="1230" priority="56" stopIfTrue="1" operator="equal">
      <formula>"B1"</formula>
    </cfRule>
  </conditionalFormatting>
  <conditionalFormatting sqref="O9:O25">
    <cfRule type="cellIs" dxfId="1229" priority="1279" stopIfTrue="1" operator="equal">
      <formula>IF(AND(OR(#REF!="W",#REF!="Q",#REF!="J"),$J9&lt;150),100)</formula>
    </cfRule>
  </conditionalFormatting>
  <conditionalFormatting sqref="O9:O25">
    <cfRule type="cellIs" dxfId="1228" priority="1278" stopIfTrue="1" operator="equal">
      <formula>"B1"</formula>
    </cfRule>
  </conditionalFormatting>
  <conditionalFormatting sqref="O9:O25">
    <cfRule type="cellIs" dxfId="1227" priority="1277" stopIfTrue="1" operator="equal">
      <formula>"B1"</formula>
    </cfRule>
  </conditionalFormatting>
  <conditionalFormatting sqref="O9:O25">
    <cfRule type="cellIs" dxfId="1226" priority="1276" stopIfTrue="1" operator="equal">
      <formula>"B1"</formula>
    </cfRule>
  </conditionalFormatting>
  <conditionalFormatting sqref="O9:O25">
    <cfRule type="cellIs" dxfId="1225" priority="1275" stopIfTrue="1" operator="equal">
      <formula>"B1"</formula>
    </cfRule>
  </conditionalFormatting>
  <conditionalFormatting sqref="O9:O25">
    <cfRule type="cellIs" dxfId="1224" priority="1274" stopIfTrue="1" operator="equal">
      <formula>"B1"</formula>
    </cfRule>
  </conditionalFormatting>
  <conditionalFormatting sqref="O9:O25">
    <cfRule type="cellIs" dxfId="1223" priority="1273" stopIfTrue="1" operator="equal">
      <formula>"B1"</formula>
    </cfRule>
  </conditionalFormatting>
  <conditionalFormatting sqref="O9:O25">
    <cfRule type="cellIs" dxfId="1222" priority="1272" stopIfTrue="1" operator="equal">
      <formula>"B1"</formula>
    </cfRule>
  </conditionalFormatting>
  <conditionalFormatting sqref="O9:O25">
    <cfRule type="cellIs" dxfId="1221" priority="1271" stopIfTrue="1" operator="equal">
      <formula>"B1"</formula>
    </cfRule>
  </conditionalFormatting>
  <conditionalFormatting sqref="O9:O25">
    <cfRule type="cellIs" dxfId="1220" priority="1270" stopIfTrue="1" operator="equal">
      <formula>IF(AND(OR(#REF!="W",#REF!="Q",#REF!="J"),$J9&lt;150),100)</formula>
    </cfRule>
  </conditionalFormatting>
  <conditionalFormatting sqref="O9:O25">
    <cfRule type="cellIs" dxfId="1219" priority="1269" stopIfTrue="1" operator="equal">
      <formula>"B1"</formula>
    </cfRule>
  </conditionalFormatting>
  <conditionalFormatting sqref="O9:O25">
    <cfRule type="cellIs" dxfId="1218" priority="1268" stopIfTrue="1" operator="equal">
      <formula>"B1"</formula>
    </cfRule>
  </conditionalFormatting>
  <conditionalFormatting sqref="O9:O25">
    <cfRule type="cellIs" dxfId="1217" priority="1267" stopIfTrue="1" operator="equal">
      <formula>"B1"</formula>
    </cfRule>
  </conditionalFormatting>
  <conditionalFormatting sqref="O9:O25">
    <cfRule type="cellIs" dxfId="1216" priority="1266" stopIfTrue="1" operator="equal">
      <formula>"B1"</formula>
    </cfRule>
  </conditionalFormatting>
  <conditionalFormatting sqref="O9:O25">
    <cfRule type="cellIs" dxfId="1215" priority="1265" stopIfTrue="1" operator="equal">
      <formula>"B1"</formula>
    </cfRule>
  </conditionalFormatting>
  <conditionalFormatting sqref="O9:O25">
    <cfRule type="cellIs" dxfId="1214" priority="1264" stopIfTrue="1" operator="equal">
      <formula>"B1"</formula>
    </cfRule>
  </conditionalFormatting>
  <conditionalFormatting sqref="O9:O25">
    <cfRule type="cellIs" dxfId="1213" priority="1263" stopIfTrue="1" operator="equal">
      <formula>"B1"</formula>
    </cfRule>
  </conditionalFormatting>
  <conditionalFormatting sqref="O9:O25">
    <cfRule type="cellIs" dxfId="1212" priority="1262" stopIfTrue="1" operator="equal">
      <formula>"B1"</formula>
    </cfRule>
  </conditionalFormatting>
  <conditionalFormatting sqref="O9:O25">
    <cfRule type="cellIs" dxfId="1211" priority="1261" stopIfTrue="1" operator="equal">
      <formula>IF(AND(OR(#REF!="W",#REF!="Q",#REF!="J"),$J9&lt;150),100)</formula>
    </cfRule>
  </conditionalFormatting>
  <conditionalFormatting sqref="O9:O25">
    <cfRule type="cellIs" dxfId="1210" priority="1260" stopIfTrue="1" operator="equal">
      <formula>"B1"</formula>
    </cfRule>
  </conditionalFormatting>
  <conditionalFormatting sqref="O9:O25">
    <cfRule type="cellIs" dxfId="1209" priority="1259" stopIfTrue="1" operator="equal">
      <formula>"B1"</formula>
    </cfRule>
  </conditionalFormatting>
  <conditionalFormatting sqref="O9:O25">
    <cfRule type="cellIs" dxfId="1208" priority="1258" stopIfTrue="1" operator="equal">
      <formula>"B1"</formula>
    </cfRule>
  </conditionalFormatting>
  <conditionalFormatting sqref="O9:O25">
    <cfRule type="cellIs" dxfId="1207" priority="1257" stopIfTrue="1" operator="equal">
      <formula>"B1"</formula>
    </cfRule>
  </conditionalFormatting>
  <conditionalFormatting sqref="O9:O25">
    <cfRule type="cellIs" dxfId="1206" priority="1256" stopIfTrue="1" operator="equal">
      <formula>"B1"</formula>
    </cfRule>
  </conditionalFormatting>
  <conditionalFormatting sqref="O9:O25">
    <cfRule type="cellIs" dxfId="1205" priority="1255" stopIfTrue="1" operator="equal">
      <formula>"B1"</formula>
    </cfRule>
  </conditionalFormatting>
  <conditionalFormatting sqref="O9:O25">
    <cfRule type="cellIs" dxfId="1204" priority="1254" stopIfTrue="1" operator="equal">
      <formula>"B1"</formula>
    </cfRule>
  </conditionalFormatting>
  <conditionalFormatting sqref="O9:O25">
    <cfRule type="cellIs" dxfId="1203" priority="1253" stopIfTrue="1" operator="equal">
      <formula>"B1"</formula>
    </cfRule>
  </conditionalFormatting>
  <conditionalFormatting sqref="O9:O25">
    <cfRule type="cellIs" dxfId="1202" priority="1252" stopIfTrue="1" operator="equal">
      <formula>IF(AND(OR(#REF!="W",#REF!="Q",#REF!="J"),$J9&lt;150),100)</formula>
    </cfRule>
  </conditionalFormatting>
  <conditionalFormatting sqref="O9:O25">
    <cfRule type="cellIs" dxfId="1201" priority="1251" stopIfTrue="1" operator="equal">
      <formula>"B1"</formula>
    </cfRule>
  </conditionalFormatting>
  <conditionalFormatting sqref="O9:O25">
    <cfRule type="cellIs" dxfId="1200" priority="1250" stopIfTrue="1" operator="equal">
      <formula>"B1"</formula>
    </cfRule>
  </conditionalFormatting>
  <conditionalFormatting sqref="O9:O25">
    <cfRule type="cellIs" dxfId="1199" priority="1249" stopIfTrue="1" operator="equal">
      <formula>"B1"</formula>
    </cfRule>
  </conditionalFormatting>
  <conditionalFormatting sqref="O9:O25">
    <cfRule type="cellIs" dxfId="1198" priority="1248" stopIfTrue="1" operator="equal">
      <formula>"B1"</formula>
    </cfRule>
  </conditionalFormatting>
  <conditionalFormatting sqref="O9:O25">
    <cfRule type="cellIs" dxfId="1197" priority="1247" stopIfTrue="1" operator="equal">
      <formula>"B1"</formula>
    </cfRule>
  </conditionalFormatting>
  <conditionalFormatting sqref="O9:O25">
    <cfRule type="cellIs" dxfId="1196" priority="1246" stopIfTrue="1" operator="equal">
      <formula>"B1"</formula>
    </cfRule>
  </conditionalFormatting>
  <conditionalFormatting sqref="O9:O25">
    <cfRule type="cellIs" dxfId="1195" priority="1245" stopIfTrue="1" operator="equal">
      <formula>"B1"</formula>
    </cfRule>
  </conditionalFormatting>
  <conditionalFormatting sqref="O9:O25">
    <cfRule type="cellIs" dxfId="1194" priority="1244" stopIfTrue="1" operator="equal">
      <formula>"B1"</formula>
    </cfRule>
  </conditionalFormatting>
  <conditionalFormatting sqref="O10">
    <cfRule type="cellIs" dxfId="1193" priority="1243" stopIfTrue="1" operator="equal">
      <formula>IF(AND(OR(#REF!="W",#REF!="Q",#REF!="J"),$J10&lt;150),100)</formula>
    </cfRule>
  </conditionalFormatting>
  <conditionalFormatting sqref="O10">
    <cfRule type="cellIs" dxfId="1192" priority="1242" stopIfTrue="1" operator="equal">
      <formula>"B1"</formula>
    </cfRule>
  </conditionalFormatting>
  <conditionalFormatting sqref="O10">
    <cfRule type="cellIs" dxfId="1191" priority="1241" stopIfTrue="1" operator="equal">
      <formula>"B1"</formula>
    </cfRule>
  </conditionalFormatting>
  <conditionalFormatting sqref="O10">
    <cfRule type="cellIs" dxfId="1190" priority="1240" stopIfTrue="1" operator="equal">
      <formula>"B1"</formula>
    </cfRule>
  </conditionalFormatting>
  <conditionalFormatting sqref="O10">
    <cfRule type="cellIs" dxfId="1189" priority="1239" stopIfTrue="1" operator="equal">
      <formula>"B1"</formula>
    </cfRule>
  </conditionalFormatting>
  <conditionalFormatting sqref="O10">
    <cfRule type="cellIs" dxfId="1188" priority="1238" stopIfTrue="1" operator="equal">
      <formula>"B1"</formula>
    </cfRule>
  </conditionalFormatting>
  <conditionalFormatting sqref="O10">
    <cfRule type="cellIs" dxfId="1187" priority="1237" stopIfTrue="1" operator="equal">
      <formula>"B1"</formula>
    </cfRule>
  </conditionalFormatting>
  <conditionalFormatting sqref="O10">
    <cfRule type="cellIs" dxfId="1186" priority="1236" stopIfTrue="1" operator="equal">
      <formula>"B1"</formula>
    </cfRule>
  </conditionalFormatting>
  <conditionalFormatting sqref="O10">
    <cfRule type="cellIs" dxfId="1185" priority="1235" stopIfTrue="1" operator="equal">
      <formula>"B1"</formula>
    </cfRule>
  </conditionalFormatting>
  <conditionalFormatting sqref="O10">
    <cfRule type="cellIs" dxfId="1184" priority="1234" stopIfTrue="1" operator="equal">
      <formula>IF(AND(OR(#REF!="W",#REF!="Q",#REF!="J"),$J10&lt;150),100)</formula>
    </cfRule>
  </conditionalFormatting>
  <conditionalFormatting sqref="O10">
    <cfRule type="cellIs" dxfId="1183" priority="1233" stopIfTrue="1" operator="equal">
      <formula>"B1"</formula>
    </cfRule>
  </conditionalFormatting>
  <conditionalFormatting sqref="O10">
    <cfRule type="cellIs" dxfId="1182" priority="1232" stopIfTrue="1" operator="equal">
      <formula>"B1"</formula>
    </cfRule>
  </conditionalFormatting>
  <conditionalFormatting sqref="O10">
    <cfRule type="cellIs" dxfId="1181" priority="1231" stopIfTrue="1" operator="equal">
      <formula>"B1"</formula>
    </cfRule>
  </conditionalFormatting>
  <conditionalFormatting sqref="O10">
    <cfRule type="cellIs" dxfId="1180" priority="1230" stopIfTrue="1" operator="equal">
      <formula>"B1"</formula>
    </cfRule>
  </conditionalFormatting>
  <conditionalFormatting sqref="O10">
    <cfRule type="cellIs" dxfId="1179" priority="1229" stopIfTrue="1" operator="equal">
      <formula>"B1"</formula>
    </cfRule>
  </conditionalFormatting>
  <conditionalFormatting sqref="O10">
    <cfRule type="cellIs" dxfId="1178" priority="1228" stopIfTrue="1" operator="equal">
      <formula>"B1"</formula>
    </cfRule>
  </conditionalFormatting>
  <conditionalFormatting sqref="O10">
    <cfRule type="cellIs" dxfId="1177" priority="1227" stopIfTrue="1" operator="equal">
      <formula>"B1"</formula>
    </cfRule>
  </conditionalFormatting>
  <conditionalFormatting sqref="O10">
    <cfRule type="cellIs" dxfId="1176" priority="1226" stopIfTrue="1" operator="equal">
      <formula>"B1"</formula>
    </cfRule>
  </conditionalFormatting>
  <conditionalFormatting sqref="O10">
    <cfRule type="cellIs" dxfId="1175" priority="1225" stopIfTrue="1" operator="equal">
      <formula>IF(AND(OR(#REF!="W",#REF!="Q",#REF!="J"),$J10&lt;150),100)</formula>
    </cfRule>
  </conditionalFormatting>
  <conditionalFormatting sqref="O10">
    <cfRule type="cellIs" dxfId="1174" priority="1224" stopIfTrue="1" operator="equal">
      <formula>"B1"</formula>
    </cfRule>
  </conditionalFormatting>
  <conditionalFormatting sqref="O10">
    <cfRule type="cellIs" dxfId="1173" priority="1223" stopIfTrue="1" operator="equal">
      <formula>"B1"</formula>
    </cfRule>
  </conditionalFormatting>
  <conditionalFormatting sqref="O10">
    <cfRule type="cellIs" dxfId="1172" priority="1222" stopIfTrue="1" operator="equal">
      <formula>"B1"</formula>
    </cfRule>
  </conditionalFormatting>
  <conditionalFormatting sqref="O10">
    <cfRule type="cellIs" dxfId="1171" priority="1221" stopIfTrue="1" operator="equal">
      <formula>"B1"</formula>
    </cfRule>
  </conditionalFormatting>
  <conditionalFormatting sqref="O10">
    <cfRule type="cellIs" dxfId="1170" priority="1220" stopIfTrue="1" operator="equal">
      <formula>"B1"</formula>
    </cfRule>
  </conditionalFormatting>
  <conditionalFormatting sqref="O10">
    <cfRule type="cellIs" dxfId="1169" priority="1219" stopIfTrue="1" operator="equal">
      <formula>"B1"</formula>
    </cfRule>
  </conditionalFormatting>
  <conditionalFormatting sqref="O10">
    <cfRule type="cellIs" dxfId="1168" priority="1218" stopIfTrue="1" operator="equal">
      <formula>"B1"</formula>
    </cfRule>
  </conditionalFormatting>
  <conditionalFormatting sqref="O10">
    <cfRule type="cellIs" dxfId="1167" priority="1217" stopIfTrue="1" operator="equal">
      <formula>"B1"</formula>
    </cfRule>
  </conditionalFormatting>
  <conditionalFormatting sqref="O10">
    <cfRule type="cellIs" dxfId="1166" priority="1216" stopIfTrue="1" operator="equal">
      <formula>IF(AND(OR(#REF!="W",#REF!="Q",#REF!="J"),$J10&lt;150),100)</formula>
    </cfRule>
  </conditionalFormatting>
  <conditionalFormatting sqref="O10">
    <cfRule type="cellIs" dxfId="1165" priority="1215" stopIfTrue="1" operator="equal">
      <formula>"B1"</formula>
    </cfRule>
  </conditionalFormatting>
  <conditionalFormatting sqref="O10">
    <cfRule type="cellIs" dxfId="1164" priority="1214" stopIfTrue="1" operator="equal">
      <formula>"B1"</formula>
    </cfRule>
  </conditionalFormatting>
  <conditionalFormatting sqref="O10">
    <cfRule type="cellIs" dxfId="1163" priority="1213" stopIfTrue="1" operator="equal">
      <formula>"B1"</formula>
    </cfRule>
  </conditionalFormatting>
  <conditionalFormatting sqref="O10">
    <cfRule type="cellIs" dxfId="1162" priority="1212" stopIfTrue="1" operator="equal">
      <formula>"B1"</formula>
    </cfRule>
  </conditionalFormatting>
  <conditionalFormatting sqref="O10">
    <cfRule type="cellIs" dxfId="1161" priority="1211" stopIfTrue="1" operator="equal">
      <formula>"B1"</formula>
    </cfRule>
  </conditionalFormatting>
  <conditionalFormatting sqref="O10">
    <cfRule type="cellIs" dxfId="1160" priority="1210" stopIfTrue="1" operator="equal">
      <formula>"B1"</formula>
    </cfRule>
  </conditionalFormatting>
  <conditionalFormatting sqref="O10">
    <cfRule type="cellIs" dxfId="1159" priority="1209" stopIfTrue="1" operator="equal">
      <formula>"B1"</formula>
    </cfRule>
  </conditionalFormatting>
  <conditionalFormatting sqref="O10">
    <cfRule type="cellIs" dxfId="1158" priority="1208" stopIfTrue="1" operator="equal">
      <formula>"B1"</formula>
    </cfRule>
  </conditionalFormatting>
  <conditionalFormatting sqref="O10">
    <cfRule type="cellIs" dxfId="1157" priority="1207" stopIfTrue="1" operator="equal">
      <formula>IF(AND(OR(#REF!="W",#REF!="Q",#REF!="J"),$J10&lt;150),100)</formula>
    </cfRule>
  </conditionalFormatting>
  <conditionalFormatting sqref="O10">
    <cfRule type="cellIs" dxfId="1156" priority="1206" stopIfTrue="1" operator="equal">
      <formula>"B1"</formula>
    </cfRule>
  </conditionalFormatting>
  <conditionalFormatting sqref="O10">
    <cfRule type="cellIs" dxfId="1155" priority="1205" stopIfTrue="1" operator="equal">
      <formula>"B1"</formula>
    </cfRule>
  </conditionalFormatting>
  <conditionalFormatting sqref="O10">
    <cfRule type="cellIs" dxfId="1154" priority="1204" stopIfTrue="1" operator="equal">
      <formula>"B1"</formula>
    </cfRule>
  </conditionalFormatting>
  <conditionalFormatting sqref="O10">
    <cfRule type="cellIs" dxfId="1153" priority="1203" stopIfTrue="1" operator="equal">
      <formula>"B1"</formula>
    </cfRule>
  </conditionalFormatting>
  <conditionalFormatting sqref="O10">
    <cfRule type="cellIs" dxfId="1152" priority="1202" stopIfTrue="1" operator="equal">
      <formula>"B1"</formula>
    </cfRule>
  </conditionalFormatting>
  <conditionalFormatting sqref="O10">
    <cfRule type="cellIs" dxfId="1151" priority="1201" stopIfTrue="1" operator="equal">
      <formula>"B1"</formula>
    </cfRule>
  </conditionalFormatting>
  <conditionalFormatting sqref="O10">
    <cfRule type="cellIs" dxfId="1150" priority="1200" stopIfTrue="1" operator="equal">
      <formula>"B1"</formula>
    </cfRule>
  </conditionalFormatting>
  <conditionalFormatting sqref="O10">
    <cfRule type="cellIs" dxfId="1149" priority="1199" stopIfTrue="1" operator="equal">
      <formula>"B1"</formula>
    </cfRule>
  </conditionalFormatting>
  <conditionalFormatting sqref="O10">
    <cfRule type="cellIs" dxfId="1148" priority="1198" stopIfTrue="1" operator="equal">
      <formula>IF(AND(OR(#REF!="W",#REF!="Q",#REF!="J"),$J10&lt;150),100)</formula>
    </cfRule>
  </conditionalFormatting>
  <conditionalFormatting sqref="O10">
    <cfRule type="cellIs" dxfId="1147" priority="1197" stopIfTrue="1" operator="equal">
      <formula>"B1"</formula>
    </cfRule>
  </conditionalFormatting>
  <conditionalFormatting sqref="O10">
    <cfRule type="cellIs" dxfId="1146" priority="1196" stopIfTrue="1" operator="equal">
      <formula>"B1"</formula>
    </cfRule>
  </conditionalFormatting>
  <conditionalFormatting sqref="O10">
    <cfRule type="cellIs" dxfId="1145" priority="1195" stopIfTrue="1" operator="equal">
      <formula>"B1"</formula>
    </cfRule>
  </conditionalFormatting>
  <conditionalFormatting sqref="O10">
    <cfRule type="cellIs" dxfId="1144" priority="1194" stopIfTrue="1" operator="equal">
      <formula>"B1"</formula>
    </cfRule>
  </conditionalFormatting>
  <conditionalFormatting sqref="O10">
    <cfRule type="cellIs" dxfId="1143" priority="1193" stopIfTrue="1" operator="equal">
      <formula>"B1"</formula>
    </cfRule>
  </conditionalFormatting>
  <conditionalFormatting sqref="O10">
    <cfRule type="cellIs" dxfId="1142" priority="1192" stopIfTrue="1" operator="equal">
      <formula>"B1"</formula>
    </cfRule>
  </conditionalFormatting>
  <conditionalFormatting sqref="O10">
    <cfRule type="cellIs" dxfId="1141" priority="1191" stopIfTrue="1" operator="equal">
      <formula>"B1"</formula>
    </cfRule>
  </conditionalFormatting>
  <conditionalFormatting sqref="O10">
    <cfRule type="cellIs" dxfId="1140" priority="1190" stopIfTrue="1" operator="equal">
      <formula>"B1"</formula>
    </cfRule>
  </conditionalFormatting>
  <conditionalFormatting sqref="O10">
    <cfRule type="cellIs" dxfId="1139" priority="1189" stopIfTrue="1" operator="equal">
      <formula>IF(AND(OR(#REF!="W",#REF!="Q",#REF!="J"),$J10&lt;150),100)</formula>
    </cfRule>
  </conditionalFormatting>
  <conditionalFormatting sqref="O10">
    <cfRule type="cellIs" dxfId="1138" priority="1188" stopIfTrue="1" operator="equal">
      <formula>"B1"</formula>
    </cfRule>
  </conditionalFormatting>
  <conditionalFormatting sqref="O10">
    <cfRule type="cellIs" dxfId="1137" priority="1187" stopIfTrue="1" operator="equal">
      <formula>"B1"</formula>
    </cfRule>
  </conditionalFormatting>
  <conditionalFormatting sqref="O10">
    <cfRule type="cellIs" dxfId="1136" priority="1186" stopIfTrue="1" operator="equal">
      <formula>"B1"</formula>
    </cfRule>
  </conditionalFormatting>
  <conditionalFormatting sqref="O10">
    <cfRule type="cellIs" dxfId="1135" priority="1185" stopIfTrue="1" operator="equal">
      <formula>"B1"</formula>
    </cfRule>
  </conditionalFormatting>
  <conditionalFormatting sqref="O10">
    <cfRule type="cellIs" dxfId="1134" priority="1184" stopIfTrue="1" operator="equal">
      <formula>"B1"</formula>
    </cfRule>
  </conditionalFormatting>
  <conditionalFormatting sqref="O10">
    <cfRule type="cellIs" dxfId="1133" priority="1183" stopIfTrue="1" operator="equal">
      <formula>"B1"</formula>
    </cfRule>
  </conditionalFormatting>
  <conditionalFormatting sqref="O10">
    <cfRule type="cellIs" dxfId="1132" priority="1182" stopIfTrue="1" operator="equal">
      <formula>"B1"</formula>
    </cfRule>
  </conditionalFormatting>
  <conditionalFormatting sqref="O10">
    <cfRule type="cellIs" dxfId="1131" priority="1181" stopIfTrue="1" operator="equal">
      <formula>"B1"</formula>
    </cfRule>
  </conditionalFormatting>
  <conditionalFormatting sqref="O10">
    <cfRule type="cellIs" dxfId="1130" priority="1180" stopIfTrue="1" operator="equal">
      <formula>IF(AND(OR(#REF!="W",#REF!="Q",#REF!="J"),$J10&lt;150),100)</formula>
    </cfRule>
  </conditionalFormatting>
  <conditionalFormatting sqref="O10">
    <cfRule type="cellIs" dxfId="1129" priority="1179" stopIfTrue="1" operator="equal">
      <formula>"B1"</formula>
    </cfRule>
  </conditionalFormatting>
  <conditionalFormatting sqref="O10">
    <cfRule type="cellIs" dxfId="1128" priority="1178" stopIfTrue="1" operator="equal">
      <formula>"B1"</formula>
    </cfRule>
  </conditionalFormatting>
  <conditionalFormatting sqref="O10">
    <cfRule type="cellIs" dxfId="1127" priority="1177" stopIfTrue="1" operator="equal">
      <formula>"B1"</formula>
    </cfRule>
  </conditionalFormatting>
  <conditionalFormatting sqref="O10">
    <cfRule type="cellIs" dxfId="1126" priority="1176" stopIfTrue="1" operator="equal">
      <formula>"B1"</formula>
    </cfRule>
  </conditionalFormatting>
  <conditionalFormatting sqref="O10">
    <cfRule type="cellIs" dxfId="1125" priority="1175" stopIfTrue="1" operator="equal">
      <formula>"B1"</formula>
    </cfRule>
  </conditionalFormatting>
  <conditionalFormatting sqref="O10">
    <cfRule type="cellIs" dxfId="1124" priority="1174" stopIfTrue="1" operator="equal">
      <formula>"B1"</formula>
    </cfRule>
  </conditionalFormatting>
  <conditionalFormatting sqref="O10">
    <cfRule type="cellIs" dxfId="1123" priority="1173" stopIfTrue="1" operator="equal">
      <formula>"B1"</formula>
    </cfRule>
  </conditionalFormatting>
  <conditionalFormatting sqref="O10">
    <cfRule type="cellIs" dxfId="1122" priority="1172" stopIfTrue="1" operator="equal">
      <formula>"B1"</formula>
    </cfRule>
  </conditionalFormatting>
  <conditionalFormatting sqref="O9:O25">
    <cfRule type="cellIs" dxfId="1121" priority="1171" stopIfTrue="1" operator="equal">
      <formula>IF(AND(OR(#REF!="W",#REF!="Q",#REF!="J"),$J9&lt;150),100)</formula>
    </cfRule>
  </conditionalFormatting>
  <conditionalFormatting sqref="O9:O25">
    <cfRule type="cellIs" dxfId="1120" priority="1170" stopIfTrue="1" operator="equal">
      <formula>"B1"</formula>
    </cfRule>
  </conditionalFormatting>
  <conditionalFormatting sqref="O9:O25">
    <cfRule type="cellIs" dxfId="1119" priority="1169" stopIfTrue="1" operator="equal">
      <formula>"B1"</formula>
    </cfRule>
  </conditionalFormatting>
  <conditionalFormatting sqref="O9:O25">
    <cfRule type="cellIs" dxfId="1118" priority="1168" stopIfTrue="1" operator="equal">
      <formula>"B1"</formula>
    </cfRule>
  </conditionalFormatting>
  <conditionalFormatting sqref="O9:O25">
    <cfRule type="cellIs" dxfId="1117" priority="1167" stopIfTrue="1" operator="equal">
      <formula>"B1"</formula>
    </cfRule>
  </conditionalFormatting>
  <conditionalFormatting sqref="O9:O25">
    <cfRule type="cellIs" dxfId="1116" priority="1166" stopIfTrue="1" operator="equal">
      <formula>"B1"</formula>
    </cfRule>
  </conditionalFormatting>
  <conditionalFormatting sqref="O9:O25">
    <cfRule type="cellIs" dxfId="1115" priority="1165" stopIfTrue="1" operator="equal">
      <formula>"B1"</formula>
    </cfRule>
  </conditionalFormatting>
  <conditionalFormatting sqref="O9:O25">
    <cfRule type="cellIs" dxfId="1114" priority="1164" stopIfTrue="1" operator="equal">
      <formula>"B1"</formula>
    </cfRule>
  </conditionalFormatting>
  <conditionalFormatting sqref="O9:O25">
    <cfRule type="cellIs" dxfId="1113" priority="1163" stopIfTrue="1" operator="equal">
      <formula>"B1"</formula>
    </cfRule>
  </conditionalFormatting>
  <conditionalFormatting sqref="O9:O25">
    <cfRule type="cellIs" dxfId="1112" priority="1162" stopIfTrue="1" operator="equal">
      <formula>IF(AND(OR(#REF!="W",#REF!="Q",#REF!="J"),$J9&lt;150),100)</formula>
    </cfRule>
  </conditionalFormatting>
  <conditionalFormatting sqref="O9:O25">
    <cfRule type="cellIs" dxfId="1111" priority="1161" stopIfTrue="1" operator="equal">
      <formula>"B1"</formula>
    </cfRule>
  </conditionalFormatting>
  <conditionalFormatting sqref="O9:O25">
    <cfRule type="cellIs" dxfId="1110" priority="1160" stopIfTrue="1" operator="equal">
      <formula>"B1"</formula>
    </cfRule>
  </conditionalFormatting>
  <conditionalFormatting sqref="O9:O25">
    <cfRule type="cellIs" dxfId="1109" priority="1159" stopIfTrue="1" operator="equal">
      <formula>"B1"</formula>
    </cfRule>
  </conditionalFormatting>
  <conditionalFormatting sqref="O9:O25">
    <cfRule type="cellIs" dxfId="1108" priority="1158" stopIfTrue="1" operator="equal">
      <formula>"B1"</formula>
    </cfRule>
  </conditionalFormatting>
  <conditionalFormatting sqref="O9:O25">
    <cfRule type="cellIs" dxfId="1107" priority="1157" stopIfTrue="1" operator="equal">
      <formula>"B1"</formula>
    </cfRule>
  </conditionalFormatting>
  <conditionalFormatting sqref="O9:O25">
    <cfRule type="cellIs" dxfId="1106" priority="1156" stopIfTrue="1" operator="equal">
      <formula>"B1"</formula>
    </cfRule>
  </conditionalFormatting>
  <conditionalFormatting sqref="O9:O25">
    <cfRule type="cellIs" dxfId="1105" priority="1155" stopIfTrue="1" operator="equal">
      <formula>"B1"</formula>
    </cfRule>
  </conditionalFormatting>
  <conditionalFormatting sqref="O9:O25">
    <cfRule type="cellIs" dxfId="1104" priority="1154" stopIfTrue="1" operator="equal">
      <formula>"B1"</formula>
    </cfRule>
  </conditionalFormatting>
  <conditionalFormatting sqref="O9:O25">
    <cfRule type="cellIs" dxfId="1103" priority="1153" stopIfTrue="1" operator="equal">
      <formula>IF(AND(OR(#REF!="W",#REF!="Q",#REF!="J"),$J9&lt;150),100)</formula>
    </cfRule>
  </conditionalFormatting>
  <conditionalFormatting sqref="O9:O25">
    <cfRule type="cellIs" dxfId="1102" priority="1152" stopIfTrue="1" operator="equal">
      <formula>"B1"</formula>
    </cfRule>
  </conditionalFormatting>
  <conditionalFormatting sqref="O9:O25">
    <cfRule type="cellIs" dxfId="1101" priority="1151" stopIfTrue="1" operator="equal">
      <formula>"B1"</formula>
    </cfRule>
  </conditionalFormatting>
  <conditionalFormatting sqref="O9:O25">
    <cfRule type="cellIs" dxfId="1100" priority="1150" stopIfTrue="1" operator="equal">
      <formula>"B1"</formula>
    </cfRule>
  </conditionalFormatting>
  <conditionalFormatting sqref="O9:O25">
    <cfRule type="cellIs" dxfId="1099" priority="1149" stopIfTrue="1" operator="equal">
      <formula>"B1"</formula>
    </cfRule>
  </conditionalFormatting>
  <conditionalFormatting sqref="O9:O25">
    <cfRule type="cellIs" dxfId="1098" priority="1148" stopIfTrue="1" operator="equal">
      <formula>"B1"</formula>
    </cfRule>
  </conditionalFormatting>
  <conditionalFormatting sqref="O9:O25">
    <cfRule type="cellIs" dxfId="1097" priority="1147" stopIfTrue="1" operator="equal">
      <formula>"B1"</formula>
    </cfRule>
  </conditionalFormatting>
  <conditionalFormatting sqref="O9:O25">
    <cfRule type="cellIs" dxfId="1096" priority="1146" stopIfTrue="1" operator="equal">
      <formula>"B1"</formula>
    </cfRule>
  </conditionalFormatting>
  <conditionalFormatting sqref="O9:O25">
    <cfRule type="cellIs" dxfId="1095" priority="1145" stopIfTrue="1" operator="equal">
      <formula>"B1"</formula>
    </cfRule>
  </conditionalFormatting>
  <conditionalFormatting sqref="O9:O25">
    <cfRule type="cellIs" dxfId="1094" priority="1144" stopIfTrue="1" operator="equal">
      <formula>IF(AND(OR(#REF!="W",#REF!="Q",#REF!="J"),$J9&lt;150),100)</formula>
    </cfRule>
  </conditionalFormatting>
  <conditionalFormatting sqref="O9:O25">
    <cfRule type="cellIs" dxfId="1093" priority="1143" stopIfTrue="1" operator="equal">
      <formula>"B1"</formula>
    </cfRule>
  </conditionalFormatting>
  <conditionalFormatting sqref="O9:O25">
    <cfRule type="cellIs" dxfId="1092" priority="1142" stopIfTrue="1" operator="equal">
      <formula>"B1"</formula>
    </cfRule>
  </conditionalFormatting>
  <conditionalFormatting sqref="O9:O25">
    <cfRule type="cellIs" dxfId="1091" priority="1141" stopIfTrue="1" operator="equal">
      <formula>"B1"</formula>
    </cfRule>
  </conditionalFormatting>
  <conditionalFormatting sqref="O9:O25">
    <cfRule type="cellIs" dxfId="1090" priority="1140" stopIfTrue="1" operator="equal">
      <formula>"B1"</formula>
    </cfRule>
  </conditionalFormatting>
  <conditionalFormatting sqref="O9:O25">
    <cfRule type="cellIs" dxfId="1089" priority="1139" stopIfTrue="1" operator="equal">
      <formula>"B1"</formula>
    </cfRule>
  </conditionalFormatting>
  <conditionalFormatting sqref="O9:O25">
    <cfRule type="cellIs" dxfId="1088" priority="1138" stopIfTrue="1" operator="equal">
      <formula>"B1"</formula>
    </cfRule>
  </conditionalFormatting>
  <conditionalFormatting sqref="O9:O25">
    <cfRule type="cellIs" dxfId="1087" priority="1137" stopIfTrue="1" operator="equal">
      <formula>"B1"</formula>
    </cfRule>
  </conditionalFormatting>
  <conditionalFormatting sqref="O9:O25">
    <cfRule type="cellIs" dxfId="1086" priority="1136" stopIfTrue="1" operator="equal">
      <formula>"B1"</formula>
    </cfRule>
  </conditionalFormatting>
  <conditionalFormatting sqref="O9:O25">
    <cfRule type="cellIs" dxfId="1085" priority="1135" stopIfTrue="1" operator="equal">
      <formula>IF(AND(OR(#REF!="W",#REF!="Q",#REF!="J"),$J9&lt;150),100)</formula>
    </cfRule>
  </conditionalFormatting>
  <conditionalFormatting sqref="O9:O25">
    <cfRule type="cellIs" dxfId="1084" priority="1134" stopIfTrue="1" operator="equal">
      <formula>"B1"</formula>
    </cfRule>
  </conditionalFormatting>
  <conditionalFormatting sqref="O9:O25">
    <cfRule type="cellIs" dxfId="1083" priority="1133" stopIfTrue="1" operator="equal">
      <formula>"B1"</formula>
    </cfRule>
  </conditionalFormatting>
  <conditionalFormatting sqref="O9:O25">
    <cfRule type="cellIs" dxfId="1082" priority="1132" stopIfTrue="1" operator="equal">
      <formula>"B1"</formula>
    </cfRule>
  </conditionalFormatting>
  <conditionalFormatting sqref="O9:O25">
    <cfRule type="cellIs" dxfId="1081" priority="1131" stopIfTrue="1" operator="equal">
      <formula>"B1"</formula>
    </cfRule>
  </conditionalFormatting>
  <conditionalFormatting sqref="O9:O25">
    <cfRule type="cellIs" dxfId="1080" priority="1130" stopIfTrue="1" operator="equal">
      <formula>"B1"</formula>
    </cfRule>
  </conditionalFormatting>
  <conditionalFormatting sqref="O9:O25">
    <cfRule type="cellIs" dxfId="1079" priority="1129" stopIfTrue="1" operator="equal">
      <formula>"B1"</formula>
    </cfRule>
  </conditionalFormatting>
  <conditionalFormatting sqref="O9:O25">
    <cfRule type="cellIs" dxfId="1078" priority="1128" stopIfTrue="1" operator="equal">
      <formula>"B1"</formula>
    </cfRule>
  </conditionalFormatting>
  <conditionalFormatting sqref="O9:O25">
    <cfRule type="cellIs" dxfId="1077" priority="1127" stopIfTrue="1" operator="equal">
      <formula>"B1"</formula>
    </cfRule>
  </conditionalFormatting>
  <conditionalFormatting sqref="O9:O25">
    <cfRule type="cellIs" dxfId="1076" priority="1126" stopIfTrue="1" operator="equal">
      <formula>IF(AND(OR(#REF!="W",#REF!="Q",#REF!="J"),$J9&lt;150),100)</formula>
    </cfRule>
  </conditionalFormatting>
  <conditionalFormatting sqref="O9:O25">
    <cfRule type="cellIs" dxfId="1075" priority="1125" stopIfTrue="1" operator="equal">
      <formula>"B1"</formula>
    </cfRule>
  </conditionalFormatting>
  <conditionalFormatting sqref="O9:O25">
    <cfRule type="cellIs" dxfId="1074" priority="1124" stopIfTrue="1" operator="equal">
      <formula>"B1"</formula>
    </cfRule>
  </conditionalFormatting>
  <conditionalFormatting sqref="O9:O25">
    <cfRule type="cellIs" dxfId="1073" priority="1123" stopIfTrue="1" operator="equal">
      <formula>"B1"</formula>
    </cfRule>
  </conditionalFormatting>
  <conditionalFormatting sqref="O9:O25">
    <cfRule type="cellIs" dxfId="1072" priority="1122" stopIfTrue="1" operator="equal">
      <formula>"B1"</formula>
    </cfRule>
  </conditionalFormatting>
  <conditionalFormatting sqref="O9:O25">
    <cfRule type="cellIs" dxfId="1071" priority="1121" stopIfTrue="1" operator="equal">
      <formula>"B1"</formula>
    </cfRule>
  </conditionalFormatting>
  <conditionalFormatting sqref="O9:O25">
    <cfRule type="cellIs" dxfId="1070" priority="1120" stopIfTrue="1" operator="equal">
      <formula>"B1"</formula>
    </cfRule>
  </conditionalFormatting>
  <conditionalFormatting sqref="O9:O25">
    <cfRule type="cellIs" dxfId="1069" priority="1119" stopIfTrue="1" operator="equal">
      <formula>"B1"</formula>
    </cfRule>
  </conditionalFormatting>
  <conditionalFormatting sqref="O9:O25">
    <cfRule type="cellIs" dxfId="1068" priority="1118" stopIfTrue="1" operator="equal">
      <formula>"B1"</formula>
    </cfRule>
  </conditionalFormatting>
  <conditionalFormatting sqref="O9:O25">
    <cfRule type="cellIs" dxfId="1067" priority="1117" stopIfTrue="1" operator="equal">
      <formula>IF(AND(OR(#REF!="W",#REF!="Q",#REF!="J"),$J9&lt;150),100)</formula>
    </cfRule>
  </conditionalFormatting>
  <conditionalFormatting sqref="O9:O25">
    <cfRule type="cellIs" dxfId="1066" priority="1116" stopIfTrue="1" operator="equal">
      <formula>"B1"</formula>
    </cfRule>
  </conditionalFormatting>
  <conditionalFormatting sqref="O9:O25">
    <cfRule type="cellIs" dxfId="1065" priority="1115" stopIfTrue="1" operator="equal">
      <formula>"B1"</formula>
    </cfRule>
  </conditionalFormatting>
  <conditionalFormatting sqref="O9:O25">
    <cfRule type="cellIs" dxfId="1064" priority="1114" stopIfTrue="1" operator="equal">
      <formula>"B1"</formula>
    </cfRule>
  </conditionalFormatting>
  <conditionalFormatting sqref="O9:O25">
    <cfRule type="cellIs" dxfId="1063" priority="1113" stopIfTrue="1" operator="equal">
      <formula>"B1"</formula>
    </cfRule>
  </conditionalFormatting>
  <conditionalFormatting sqref="O9:O25">
    <cfRule type="cellIs" dxfId="1062" priority="1112" stopIfTrue="1" operator="equal">
      <formula>"B1"</formula>
    </cfRule>
  </conditionalFormatting>
  <conditionalFormatting sqref="O9:O25">
    <cfRule type="cellIs" dxfId="1061" priority="1111" stopIfTrue="1" operator="equal">
      <formula>"B1"</formula>
    </cfRule>
  </conditionalFormatting>
  <conditionalFormatting sqref="O9:O25">
    <cfRule type="cellIs" dxfId="1060" priority="1110" stopIfTrue="1" operator="equal">
      <formula>"B1"</formula>
    </cfRule>
  </conditionalFormatting>
  <conditionalFormatting sqref="O9:O25">
    <cfRule type="cellIs" dxfId="1059" priority="1109" stopIfTrue="1" operator="equal">
      <formula>"B1"</formula>
    </cfRule>
  </conditionalFormatting>
  <conditionalFormatting sqref="O9:O25">
    <cfRule type="cellIs" dxfId="1058" priority="1108" stopIfTrue="1" operator="equal">
      <formula>IF(AND(OR(#REF!="W",#REF!="Q",#REF!="J"),$J9&lt;150),100)</formula>
    </cfRule>
  </conditionalFormatting>
  <conditionalFormatting sqref="O9:O25">
    <cfRule type="cellIs" dxfId="1057" priority="1107" stopIfTrue="1" operator="equal">
      <formula>"B1"</formula>
    </cfRule>
  </conditionalFormatting>
  <conditionalFormatting sqref="O9:O25">
    <cfRule type="cellIs" dxfId="1056" priority="1106" stopIfTrue="1" operator="equal">
      <formula>"B1"</formula>
    </cfRule>
  </conditionalFormatting>
  <conditionalFormatting sqref="O9:O25">
    <cfRule type="cellIs" dxfId="1055" priority="1105" stopIfTrue="1" operator="equal">
      <formula>"B1"</formula>
    </cfRule>
  </conditionalFormatting>
  <conditionalFormatting sqref="O9:O25">
    <cfRule type="cellIs" dxfId="1054" priority="1104" stopIfTrue="1" operator="equal">
      <formula>"B1"</formula>
    </cfRule>
  </conditionalFormatting>
  <conditionalFormatting sqref="O9:O25">
    <cfRule type="cellIs" dxfId="1053" priority="1103" stopIfTrue="1" operator="equal">
      <formula>"B1"</formula>
    </cfRule>
  </conditionalFormatting>
  <conditionalFormatting sqref="O9:O25">
    <cfRule type="cellIs" dxfId="1052" priority="1102" stopIfTrue="1" operator="equal">
      <formula>"B1"</formula>
    </cfRule>
  </conditionalFormatting>
  <conditionalFormatting sqref="O9:O25">
    <cfRule type="cellIs" dxfId="1051" priority="1101" stopIfTrue="1" operator="equal">
      <formula>"B1"</formula>
    </cfRule>
  </conditionalFormatting>
  <conditionalFormatting sqref="O9:O25">
    <cfRule type="cellIs" dxfId="1050" priority="1100" stopIfTrue="1" operator="equal">
      <formula>"B1"</formula>
    </cfRule>
  </conditionalFormatting>
  <conditionalFormatting sqref="O9:O25">
    <cfRule type="cellIs" dxfId="1049" priority="1099" stopIfTrue="1" operator="equal">
      <formula>IF(AND(OR(#REF!="W",#REF!="Q",#REF!="J"),$J9&lt;150),100)</formula>
    </cfRule>
  </conditionalFormatting>
  <conditionalFormatting sqref="O9:O25">
    <cfRule type="cellIs" dxfId="1048" priority="1098" stopIfTrue="1" operator="equal">
      <formula>"B1"</formula>
    </cfRule>
  </conditionalFormatting>
  <conditionalFormatting sqref="O9:O25">
    <cfRule type="cellIs" dxfId="1047" priority="1097" stopIfTrue="1" operator="equal">
      <formula>"B1"</formula>
    </cfRule>
  </conditionalFormatting>
  <conditionalFormatting sqref="O9:O25">
    <cfRule type="cellIs" dxfId="1046" priority="1096" stopIfTrue="1" operator="equal">
      <formula>"B1"</formula>
    </cfRule>
  </conditionalFormatting>
  <conditionalFormatting sqref="O9:O25">
    <cfRule type="cellIs" dxfId="1045" priority="1095" stopIfTrue="1" operator="equal">
      <formula>"B1"</formula>
    </cfRule>
  </conditionalFormatting>
  <conditionalFormatting sqref="O9:O25">
    <cfRule type="cellIs" dxfId="1044" priority="1094" stopIfTrue="1" operator="equal">
      <formula>"B1"</formula>
    </cfRule>
  </conditionalFormatting>
  <conditionalFormatting sqref="O9:O25">
    <cfRule type="cellIs" dxfId="1043" priority="1093" stopIfTrue="1" operator="equal">
      <formula>"B1"</formula>
    </cfRule>
  </conditionalFormatting>
  <conditionalFormatting sqref="O9:O25">
    <cfRule type="cellIs" dxfId="1042" priority="1092" stopIfTrue="1" operator="equal">
      <formula>"B1"</formula>
    </cfRule>
  </conditionalFormatting>
  <conditionalFormatting sqref="O9:O25">
    <cfRule type="cellIs" dxfId="1041" priority="1091" stopIfTrue="1" operator="equal">
      <formula>"B1"</formula>
    </cfRule>
  </conditionalFormatting>
  <conditionalFormatting sqref="O9:O25">
    <cfRule type="cellIs" dxfId="1040" priority="1090" stopIfTrue="1" operator="equal">
      <formula>IF(AND(OR(#REF!="W",#REF!="Q",#REF!="J"),$J9&lt;150),100)</formula>
    </cfRule>
  </conditionalFormatting>
  <conditionalFormatting sqref="O9:O25">
    <cfRule type="cellIs" dxfId="1039" priority="1089" stopIfTrue="1" operator="equal">
      <formula>"B1"</formula>
    </cfRule>
  </conditionalFormatting>
  <conditionalFormatting sqref="O9:O25">
    <cfRule type="cellIs" dxfId="1038" priority="1088" stopIfTrue="1" operator="equal">
      <formula>"B1"</formula>
    </cfRule>
  </conditionalFormatting>
  <conditionalFormatting sqref="O9:O25">
    <cfRule type="cellIs" dxfId="1037" priority="1087" stopIfTrue="1" operator="equal">
      <formula>"B1"</formula>
    </cfRule>
  </conditionalFormatting>
  <conditionalFormatting sqref="O9:O25">
    <cfRule type="cellIs" dxfId="1036" priority="1086" stopIfTrue="1" operator="equal">
      <formula>"B1"</formula>
    </cfRule>
  </conditionalFormatting>
  <conditionalFormatting sqref="O9:O25">
    <cfRule type="cellIs" dxfId="1035" priority="1085" stopIfTrue="1" operator="equal">
      <formula>"B1"</formula>
    </cfRule>
  </conditionalFormatting>
  <conditionalFormatting sqref="O9:O25">
    <cfRule type="cellIs" dxfId="1034" priority="1084" stopIfTrue="1" operator="equal">
      <formula>"B1"</formula>
    </cfRule>
  </conditionalFormatting>
  <conditionalFormatting sqref="O9:O25">
    <cfRule type="cellIs" dxfId="1033" priority="1083" stopIfTrue="1" operator="equal">
      <formula>"B1"</formula>
    </cfRule>
  </conditionalFormatting>
  <conditionalFormatting sqref="O9:O25">
    <cfRule type="cellIs" dxfId="1032" priority="1082" stopIfTrue="1" operator="equal">
      <formula>"B1"</formula>
    </cfRule>
  </conditionalFormatting>
  <conditionalFormatting sqref="O9:O25">
    <cfRule type="cellIs" dxfId="1031" priority="1081" stopIfTrue="1" operator="equal">
      <formula>IF(AND(OR(#REF!="W",#REF!="Q",#REF!="J"),$J9&lt;150),100)</formula>
    </cfRule>
  </conditionalFormatting>
  <conditionalFormatting sqref="O9:O25">
    <cfRule type="cellIs" dxfId="1030" priority="1080" stopIfTrue="1" operator="equal">
      <formula>"B1"</formula>
    </cfRule>
  </conditionalFormatting>
  <conditionalFormatting sqref="O9:O25">
    <cfRule type="cellIs" dxfId="1029" priority="1079" stopIfTrue="1" operator="equal">
      <formula>"B1"</formula>
    </cfRule>
  </conditionalFormatting>
  <conditionalFormatting sqref="O9:O25">
    <cfRule type="cellIs" dxfId="1028" priority="1078" stopIfTrue="1" operator="equal">
      <formula>"B1"</formula>
    </cfRule>
  </conditionalFormatting>
  <conditionalFormatting sqref="O9:O25">
    <cfRule type="cellIs" dxfId="1027" priority="1077" stopIfTrue="1" operator="equal">
      <formula>"B1"</formula>
    </cfRule>
  </conditionalFormatting>
  <conditionalFormatting sqref="O9:O25">
    <cfRule type="cellIs" dxfId="1026" priority="1076" stopIfTrue="1" operator="equal">
      <formula>"B1"</formula>
    </cfRule>
  </conditionalFormatting>
  <conditionalFormatting sqref="O9:O25">
    <cfRule type="cellIs" dxfId="1025" priority="1075" stopIfTrue="1" operator="equal">
      <formula>"B1"</formula>
    </cfRule>
  </conditionalFormatting>
  <conditionalFormatting sqref="O9:O25">
    <cfRule type="cellIs" dxfId="1024" priority="1074" stopIfTrue="1" operator="equal">
      <formula>"B1"</formula>
    </cfRule>
  </conditionalFormatting>
  <conditionalFormatting sqref="O9:O25">
    <cfRule type="cellIs" dxfId="1023" priority="1073" stopIfTrue="1" operator="equal">
      <formula>"B1"</formula>
    </cfRule>
  </conditionalFormatting>
  <conditionalFormatting sqref="O9:O25">
    <cfRule type="cellIs" dxfId="1022" priority="1072" stopIfTrue="1" operator="equal">
      <formula>IF(AND(OR(#REF!="W",#REF!="Q",#REF!="J"),$J9&lt;150),100)</formula>
    </cfRule>
  </conditionalFormatting>
  <conditionalFormatting sqref="O9:O25">
    <cfRule type="cellIs" dxfId="1021" priority="1071" stopIfTrue="1" operator="equal">
      <formula>"B1"</formula>
    </cfRule>
  </conditionalFormatting>
  <conditionalFormatting sqref="O9:O25">
    <cfRule type="cellIs" dxfId="1020" priority="1070" stopIfTrue="1" operator="equal">
      <formula>"B1"</formula>
    </cfRule>
  </conditionalFormatting>
  <conditionalFormatting sqref="O9:O25">
    <cfRule type="cellIs" dxfId="1019" priority="1069" stopIfTrue="1" operator="equal">
      <formula>"B1"</formula>
    </cfRule>
  </conditionalFormatting>
  <conditionalFormatting sqref="O9:O25">
    <cfRule type="cellIs" dxfId="1018" priority="1068" stopIfTrue="1" operator="equal">
      <formula>"B1"</formula>
    </cfRule>
  </conditionalFormatting>
  <conditionalFormatting sqref="O9:O25">
    <cfRule type="cellIs" dxfId="1017" priority="1067" stopIfTrue="1" operator="equal">
      <formula>"B1"</formula>
    </cfRule>
  </conditionalFormatting>
  <conditionalFormatting sqref="O9:O25">
    <cfRule type="cellIs" dxfId="1016" priority="1066" stopIfTrue="1" operator="equal">
      <formula>"B1"</formula>
    </cfRule>
  </conditionalFormatting>
  <conditionalFormatting sqref="O9:O25">
    <cfRule type="cellIs" dxfId="1015" priority="1065" stopIfTrue="1" operator="equal">
      <formula>"B1"</formula>
    </cfRule>
  </conditionalFormatting>
  <conditionalFormatting sqref="O9:O25">
    <cfRule type="cellIs" dxfId="1014" priority="1064" stopIfTrue="1" operator="equal">
      <formula>"B1"</formula>
    </cfRule>
  </conditionalFormatting>
  <conditionalFormatting sqref="P10">
    <cfRule type="cellIs" dxfId="1013" priority="1063" stopIfTrue="1" operator="equal">
      <formula>IF(AND(OR(#REF!="W",#REF!="Q",#REF!="J"),$J10&lt;150),100)</formula>
    </cfRule>
  </conditionalFormatting>
  <conditionalFormatting sqref="P10">
    <cfRule type="cellIs" dxfId="1012" priority="1062" stopIfTrue="1" operator="equal">
      <formula>"B1"</formula>
    </cfRule>
  </conditionalFormatting>
  <conditionalFormatting sqref="P10">
    <cfRule type="cellIs" dxfId="1011" priority="1061" stopIfTrue="1" operator="equal">
      <formula>"B1"</formula>
    </cfRule>
  </conditionalFormatting>
  <conditionalFormatting sqref="P10">
    <cfRule type="cellIs" dxfId="1010" priority="1060" stopIfTrue="1" operator="equal">
      <formula>"B1"</formula>
    </cfRule>
  </conditionalFormatting>
  <conditionalFormatting sqref="P10">
    <cfRule type="cellIs" dxfId="1009" priority="1059" stopIfTrue="1" operator="equal">
      <formula>"B1"</formula>
    </cfRule>
  </conditionalFormatting>
  <conditionalFormatting sqref="P10">
    <cfRule type="cellIs" dxfId="1008" priority="1058" stopIfTrue="1" operator="equal">
      <formula>"B1"</formula>
    </cfRule>
  </conditionalFormatting>
  <conditionalFormatting sqref="P10">
    <cfRule type="cellIs" dxfId="1007" priority="1057" stopIfTrue="1" operator="equal">
      <formula>"B1"</formula>
    </cfRule>
  </conditionalFormatting>
  <conditionalFormatting sqref="P10">
    <cfRule type="cellIs" dxfId="1006" priority="1056" stopIfTrue="1" operator="equal">
      <formula>"B1"</formula>
    </cfRule>
  </conditionalFormatting>
  <conditionalFormatting sqref="P10">
    <cfRule type="cellIs" dxfId="1005" priority="1055" stopIfTrue="1" operator="equal">
      <formula>"B1"</formula>
    </cfRule>
  </conditionalFormatting>
  <conditionalFormatting sqref="P10">
    <cfRule type="cellIs" dxfId="1004" priority="1054" stopIfTrue="1" operator="equal">
      <formula>IF(AND(OR(#REF!="W",#REF!="Q",#REF!="J"),$J10&lt;150),100)</formula>
    </cfRule>
  </conditionalFormatting>
  <conditionalFormatting sqref="P10">
    <cfRule type="cellIs" dxfId="1003" priority="1053" stopIfTrue="1" operator="equal">
      <formula>"B1"</formula>
    </cfRule>
  </conditionalFormatting>
  <conditionalFormatting sqref="P10">
    <cfRule type="cellIs" dxfId="1002" priority="1052" stopIfTrue="1" operator="equal">
      <formula>"B1"</formula>
    </cfRule>
  </conditionalFormatting>
  <conditionalFormatting sqref="P10">
    <cfRule type="cellIs" dxfId="1001" priority="1051" stopIfTrue="1" operator="equal">
      <formula>"B1"</formula>
    </cfRule>
  </conditionalFormatting>
  <conditionalFormatting sqref="P10">
    <cfRule type="cellIs" dxfId="1000" priority="1050" stopIfTrue="1" operator="equal">
      <formula>"B1"</formula>
    </cfRule>
  </conditionalFormatting>
  <conditionalFormatting sqref="P10">
    <cfRule type="cellIs" dxfId="999" priority="1049" stopIfTrue="1" operator="equal">
      <formula>"B1"</formula>
    </cfRule>
  </conditionalFormatting>
  <conditionalFormatting sqref="P10">
    <cfRule type="cellIs" dxfId="998" priority="1048" stopIfTrue="1" operator="equal">
      <formula>"B1"</formula>
    </cfRule>
  </conditionalFormatting>
  <conditionalFormatting sqref="P10">
    <cfRule type="cellIs" dxfId="997" priority="1047" stopIfTrue="1" operator="equal">
      <formula>"B1"</formula>
    </cfRule>
  </conditionalFormatting>
  <conditionalFormatting sqref="P10">
    <cfRule type="cellIs" dxfId="996" priority="1046" stopIfTrue="1" operator="equal">
      <formula>"B1"</formula>
    </cfRule>
  </conditionalFormatting>
  <conditionalFormatting sqref="P10">
    <cfRule type="cellIs" dxfId="995" priority="1045" stopIfTrue="1" operator="equal">
      <formula>IF(AND(OR(#REF!="W",#REF!="Q",#REF!="J"),$J10&lt;150),100)</formula>
    </cfRule>
  </conditionalFormatting>
  <conditionalFormatting sqref="P10">
    <cfRule type="cellIs" dxfId="994" priority="1044" stopIfTrue="1" operator="equal">
      <formula>"B1"</formula>
    </cfRule>
  </conditionalFormatting>
  <conditionalFormatting sqref="P10">
    <cfRule type="cellIs" dxfId="993" priority="1043" stopIfTrue="1" operator="equal">
      <formula>"B1"</formula>
    </cfRule>
  </conditionalFormatting>
  <conditionalFormatting sqref="P10">
    <cfRule type="cellIs" dxfId="992" priority="1042" stopIfTrue="1" operator="equal">
      <formula>"B1"</formula>
    </cfRule>
  </conditionalFormatting>
  <conditionalFormatting sqref="P10">
    <cfRule type="cellIs" dxfId="991" priority="1041" stopIfTrue="1" operator="equal">
      <formula>"B1"</formula>
    </cfRule>
  </conditionalFormatting>
  <conditionalFormatting sqref="P10">
    <cfRule type="cellIs" dxfId="990" priority="1040" stopIfTrue="1" operator="equal">
      <formula>"B1"</formula>
    </cfRule>
  </conditionalFormatting>
  <conditionalFormatting sqref="P10">
    <cfRule type="cellIs" dxfId="989" priority="1039" stopIfTrue="1" operator="equal">
      <formula>"B1"</formula>
    </cfRule>
  </conditionalFormatting>
  <conditionalFormatting sqref="P10">
    <cfRule type="cellIs" dxfId="988" priority="1038" stopIfTrue="1" operator="equal">
      <formula>"B1"</formula>
    </cfRule>
  </conditionalFormatting>
  <conditionalFormatting sqref="P10">
    <cfRule type="cellIs" dxfId="987" priority="1037" stopIfTrue="1" operator="equal">
      <formula>"B1"</formula>
    </cfRule>
  </conditionalFormatting>
  <conditionalFormatting sqref="P10">
    <cfRule type="cellIs" dxfId="986" priority="1036" stopIfTrue="1" operator="equal">
      <formula>IF(AND(OR(#REF!="W",#REF!="Q",#REF!="J"),$J10&lt;150),100)</formula>
    </cfRule>
  </conditionalFormatting>
  <conditionalFormatting sqref="P10">
    <cfRule type="cellIs" dxfId="985" priority="1035" stopIfTrue="1" operator="equal">
      <formula>"B1"</formula>
    </cfRule>
  </conditionalFormatting>
  <conditionalFormatting sqref="P10">
    <cfRule type="cellIs" dxfId="984" priority="1034" stopIfTrue="1" operator="equal">
      <formula>"B1"</formula>
    </cfRule>
  </conditionalFormatting>
  <conditionalFormatting sqref="P10">
    <cfRule type="cellIs" dxfId="983" priority="1033" stopIfTrue="1" operator="equal">
      <formula>"B1"</formula>
    </cfRule>
  </conditionalFormatting>
  <conditionalFormatting sqref="P10">
    <cfRule type="cellIs" dxfId="982" priority="1032" stopIfTrue="1" operator="equal">
      <formula>"B1"</formula>
    </cfRule>
  </conditionalFormatting>
  <conditionalFormatting sqref="P10">
    <cfRule type="cellIs" dxfId="981" priority="1031" stopIfTrue="1" operator="equal">
      <formula>"B1"</formula>
    </cfRule>
  </conditionalFormatting>
  <conditionalFormatting sqref="P10">
    <cfRule type="cellIs" dxfId="980" priority="1030" stopIfTrue="1" operator="equal">
      <formula>"B1"</formula>
    </cfRule>
  </conditionalFormatting>
  <conditionalFormatting sqref="P10">
    <cfRule type="cellIs" dxfId="979" priority="1029" stopIfTrue="1" operator="equal">
      <formula>"B1"</formula>
    </cfRule>
  </conditionalFormatting>
  <conditionalFormatting sqref="P10">
    <cfRule type="cellIs" dxfId="978" priority="1028" stopIfTrue="1" operator="equal">
      <formula>"B1"</formula>
    </cfRule>
  </conditionalFormatting>
  <conditionalFormatting sqref="P10">
    <cfRule type="cellIs" dxfId="977" priority="1027" stopIfTrue="1" operator="equal">
      <formula>IF(AND(OR(#REF!="W",#REF!="Q",#REF!="J"),$J10&lt;150),100)</formula>
    </cfRule>
  </conditionalFormatting>
  <conditionalFormatting sqref="P10">
    <cfRule type="cellIs" dxfId="976" priority="1026" stopIfTrue="1" operator="equal">
      <formula>"B1"</formula>
    </cfRule>
  </conditionalFormatting>
  <conditionalFormatting sqref="P10">
    <cfRule type="cellIs" dxfId="975" priority="1025" stopIfTrue="1" operator="equal">
      <formula>"B1"</formula>
    </cfRule>
  </conditionalFormatting>
  <conditionalFormatting sqref="P10">
    <cfRule type="cellIs" dxfId="974" priority="1024" stopIfTrue="1" operator="equal">
      <formula>"B1"</formula>
    </cfRule>
  </conditionalFormatting>
  <conditionalFormatting sqref="P10">
    <cfRule type="cellIs" dxfId="973" priority="1023" stopIfTrue="1" operator="equal">
      <formula>"B1"</formula>
    </cfRule>
  </conditionalFormatting>
  <conditionalFormatting sqref="P10">
    <cfRule type="cellIs" dxfId="972" priority="1022" stopIfTrue="1" operator="equal">
      <formula>"B1"</formula>
    </cfRule>
  </conditionalFormatting>
  <conditionalFormatting sqref="P10">
    <cfRule type="cellIs" dxfId="971" priority="1021" stopIfTrue="1" operator="equal">
      <formula>"B1"</formula>
    </cfRule>
  </conditionalFormatting>
  <conditionalFormatting sqref="P10">
    <cfRule type="cellIs" dxfId="970" priority="1020" stopIfTrue="1" operator="equal">
      <formula>"B1"</formula>
    </cfRule>
  </conditionalFormatting>
  <conditionalFormatting sqref="P10">
    <cfRule type="cellIs" dxfId="969" priority="1019" stopIfTrue="1" operator="equal">
      <formula>"B1"</formula>
    </cfRule>
  </conditionalFormatting>
  <conditionalFormatting sqref="P10">
    <cfRule type="cellIs" dxfId="968" priority="1018" stopIfTrue="1" operator="equal">
      <formula>IF(AND(OR(#REF!="W",#REF!="Q",#REF!="J"),$J10&lt;150),100)</formula>
    </cfRule>
  </conditionalFormatting>
  <conditionalFormatting sqref="P10">
    <cfRule type="cellIs" dxfId="967" priority="1017" stopIfTrue="1" operator="equal">
      <formula>"B1"</formula>
    </cfRule>
  </conditionalFormatting>
  <conditionalFormatting sqref="P10">
    <cfRule type="cellIs" dxfId="966" priority="1016" stopIfTrue="1" operator="equal">
      <formula>"B1"</formula>
    </cfRule>
  </conditionalFormatting>
  <conditionalFormatting sqref="P10">
    <cfRule type="cellIs" dxfId="965" priority="1015" stopIfTrue="1" operator="equal">
      <formula>"B1"</formula>
    </cfRule>
  </conditionalFormatting>
  <conditionalFormatting sqref="P10">
    <cfRule type="cellIs" dxfId="964" priority="1014" stopIfTrue="1" operator="equal">
      <formula>"B1"</formula>
    </cfRule>
  </conditionalFormatting>
  <conditionalFormatting sqref="P10">
    <cfRule type="cellIs" dxfId="963" priority="1013" stopIfTrue="1" operator="equal">
      <formula>"B1"</formula>
    </cfRule>
  </conditionalFormatting>
  <conditionalFormatting sqref="P10">
    <cfRule type="cellIs" dxfId="962" priority="1012" stopIfTrue="1" operator="equal">
      <formula>"B1"</formula>
    </cfRule>
  </conditionalFormatting>
  <conditionalFormatting sqref="P10">
    <cfRule type="cellIs" dxfId="961" priority="1011" stopIfTrue="1" operator="equal">
      <formula>"B1"</formula>
    </cfRule>
  </conditionalFormatting>
  <conditionalFormatting sqref="P10">
    <cfRule type="cellIs" dxfId="960" priority="1010" stopIfTrue="1" operator="equal">
      <formula>"B1"</formula>
    </cfRule>
  </conditionalFormatting>
  <conditionalFormatting sqref="P10">
    <cfRule type="cellIs" dxfId="959" priority="1009" stopIfTrue="1" operator="equal">
      <formula>IF(AND(OR(#REF!="W",#REF!="Q",#REF!="J"),$J10&lt;150),100)</formula>
    </cfRule>
  </conditionalFormatting>
  <conditionalFormatting sqref="P10">
    <cfRule type="cellIs" dxfId="958" priority="1008" stopIfTrue="1" operator="equal">
      <formula>"B1"</formula>
    </cfRule>
  </conditionalFormatting>
  <conditionalFormatting sqref="P10">
    <cfRule type="cellIs" dxfId="957" priority="1007" stopIfTrue="1" operator="equal">
      <formula>"B1"</formula>
    </cfRule>
  </conditionalFormatting>
  <conditionalFormatting sqref="P10">
    <cfRule type="cellIs" dxfId="956" priority="1006" stopIfTrue="1" operator="equal">
      <formula>"B1"</formula>
    </cfRule>
  </conditionalFormatting>
  <conditionalFormatting sqref="P10">
    <cfRule type="cellIs" dxfId="955" priority="1005" stopIfTrue="1" operator="equal">
      <formula>"B1"</formula>
    </cfRule>
  </conditionalFormatting>
  <conditionalFormatting sqref="P10">
    <cfRule type="cellIs" dxfId="954" priority="1004" stopIfTrue="1" operator="equal">
      <formula>"B1"</formula>
    </cfRule>
  </conditionalFormatting>
  <conditionalFormatting sqref="P10">
    <cfRule type="cellIs" dxfId="953" priority="1003" stopIfTrue="1" operator="equal">
      <formula>"B1"</formula>
    </cfRule>
  </conditionalFormatting>
  <conditionalFormatting sqref="P10">
    <cfRule type="cellIs" dxfId="952" priority="1002" stopIfTrue="1" operator="equal">
      <formula>"B1"</formula>
    </cfRule>
  </conditionalFormatting>
  <conditionalFormatting sqref="P10">
    <cfRule type="cellIs" dxfId="951" priority="1001" stopIfTrue="1" operator="equal">
      <formula>"B1"</formula>
    </cfRule>
  </conditionalFormatting>
  <conditionalFormatting sqref="P10">
    <cfRule type="cellIs" dxfId="950" priority="1000" stopIfTrue="1" operator="equal">
      <formula>IF(AND(OR(#REF!="W",#REF!="Q",#REF!="J"),$J10&lt;150),100)</formula>
    </cfRule>
  </conditionalFormatting>
  <conditionalFormatting sqref="P10">
    <cfRule type="cellIs" dxfId="949" priority="999" stopIfTrue="1" operator="equal">
      <formula>"B1"</formula>
    </cfRule>
  </conditionalFormatting>
  <conditionalFormatting sqref="P10">
    <cfRule type="cellIs" dxfId="948" priority="998" stopIfTrue="1" operator="equal">
      <formula>"B1"</formula>
    </cfRule>
  </conditionalFormatting>
  <conditionalFormatting sqref="P10">
    <cfRule type="cellIs" dxfId="947" priority="997" stopIfTrue="1" operator="equal">
      <formula>"B1"</formula>
    </cfRule>
  </conditionalFormatting>
  <conditionalFormatting sqref="P10">
    <cfRule type="cellIs" dxfId="946" priority="996" stopIfTrue="1" operator="equal">
      <formula>"B1"</formula>
    </cfRule>
  </conditionalFormatting>
  <conditionalFormatting sqref="P10">
    <cfRule type="cellIs" dxfId="945" priority="995" stopIfTrue="1" operator="equal">
      <formula>"B1"</formula>
    </cfRule>
  </conditionalFormatting>
  <conditionalFormatting sqref="P10">
    <cfRule type="cellIs" dxfId="944" priority="994" stopIfTrue="1" operator="equal">
      <formula>"B1"</formula>
    </cfRule>
  </conditionalFormatting>
  <conditionalFormatting sqref="P10">
    <cfRule type="cellIs" dxfId="943" priority="993" stopIfTrue="1" operator="equal">
      <formula>"B1"</formula>
    </cfRule>
  </conditionalFormatting>
  <conditionalFormatting sqref="P10">
    <cfRule type="cellIs" dxfId="942" priority="992" stopIfTrue="1" operator="equal">
      <formula>"B1"</formula>
    </cfRule>
  </conditionalFormatting>
  <conditionalFormatting sqref="P10">
    <cfRule type="cellIs" dxfId="941" priority="991" stopIfTrue="1" operator="equal">
      <formula>IF(AND(OR(#REF!="W",#REF!="Q",#REF!="J"),$J10&lt;150),100)</formula>
    </cfRule>
  </conditionalFormatting>
  <conditionalFormatting sqref="P10">
    <cfRule type="cellIs" dxfId="940" priority="990" stopIfTrue="1" operator="equal">
      <formula>"B1"</formula>
    </cfRule>
  </conditionalFormatting>
  <conditionalFormatting sqref="P10">
    <cfRule type="cellIs" dxfId="939" priority="989" stopIfTrue="1" operator="equal">
      <formula>"B1"</formula>
    </cfRule>
  </conditionalFormatting>
  <conditionalFormatting sqref="P10">
    <cfRule type="cellIs" dxfId="938" priority="988" stopIfTrue="1" operator="equal">
      <formula>"B1"</formula>
    </cfRule>
  </conditionalFormatting>
  <conditionalFormatting sqref="P10">
    <cfRule type="cellIs" dxfId="937" priority="987" stopIfTrue="1" operator="equal">
      <formula>"B1"</formula>
    </cfRule>
  </conditionalFormatting>
  <conditionalFormatting sqref="P10">
    <cfRule type="cellIs" dxfId="936" priority="986" stopIfTrue="1" operator="equal">
      <formula>"B1"</formula>
    </cfRule>
  </conditionalFormatting>
  <conditionalFormatting sqref="P10">
    <cfRule type="cellIs" dxfId="935" priority="985" stopIfTrue="1" operator="equal">
      <formula>"B1"</formula>
    </cfRule>
  </conditionalFormatting>
  <conditionalFormatting sqref="P10">
    <cfRule type="cellIs" dxfId="934" priority="984" stopIfTrue="1" operator="equal">
      <formula>"B1"</formula>
    </cfRule>
  </conditionalFormatting>
  <conditionalFormatting sqref="P10">
    <cfRule type="cellIs" dxfId="933" priority="983" stopIfTrue="1" operator="equal">
      <formula>"B1"</formula>
    </cfRule>
  </conditionalFormatting>
  <conditionalFormatting sqref="P10">
    <cfRule type="cellIs" dxfId="932" priority="982" stopIfTrue="1" operator="equal">
      <formula>IF(AND(OR(#REF!="W",#REF!="Q",#REF!="J"),$J10&lt;150),100)</formula>
    </cfRule>
  </conditionalFormatting>
  <conditionalFormatting sqref="P10">
    <cfRule type="cellIs" dxfId="931" priority="981" stopIfTrue="1" operator="equal">
      <formula>"B1"</formula>
    </cfRule>
  </conditionalFormatting>
  <conditionalFormatting sqref="P10">
    <cfRule type="cellIs" dxfId="930" priority="980" stopIfTrue="1" operator="equal">
      <formula>"B1"</formula>
    </cfRule>
  </conditionalFormatting>
  <conditionalFormatting sqref="P10">
    <cfRule type="cellIs" dxfId="929" priority="979" stopIfTrue="1" operator="equal">
      <formula>"B1"</formula>
    </cfRule>
  </conditionalFormatting>
  <conditionalFormatting sqref="P10">
    <cfRule type="cellIs" dxfId="928" priority="978" stopIfTrue="1" operator="equal">
      <formula>"B1"</formula>
    </cfRule>
  </conditionalFormatting>
  <conditionalFormatting sqref="P10">
    <cfRule type="cellIs" dxfId="927" priority="977" stopIfTrue="1" operator="equal">
      <formula>"B1"</formula>
    </cfRule>
  </conditionalFormatting>
  <conditionalFormatting sqref="P10">
    <cfRule type="cellIs" dxfId="926" priority="976" stopIfTrue="1" operator="equal">
      <formula>"B1"</formula>
    </cfRule>
  </conditionalFormatting>
  <conditionalFormatting sqref="P10">
    <cfRule type="cellIs" dxfId="925" priority="975" stopIfTrue="1" operator="equal">
      <formula>"B1"</formula>
    </cfRule>
  </conditionalFormatting>
  <conditionalFormatting sqref="P10">
    <cfRule type="cellIs" dxfId="924" priority="974" stopIfTrue="1" operator="equal">
      <formula>"B1"</formula>
    </cfRule>
  </conditionalFormatting>
  <conditionalFormatting sqref="P10">
    <cfRule type="cellIs" dxfId="923" priority="973" stopIfTrue="1" operator="equal">
      <formula>IF(AND(OR(#REF!="W",#REF!="Q",#REF!="J"),$J10&lt;150),100)</formula>
    </cfRule>
  </conditionalFormatting>
  <conditionalFormatting sqref="P10">
    <cfRule type="cellIs" dxfId="922" priority="972" stopIfTrue="1" operator="equal">
      <formula>"B1"</formula>
    </cfRule>
  </conditionalFormatting>
  <conditionalFormatting sqref="P10">
    <cfRule type="cellIs" dxfId="921" priority="971" stopIfTrue="1" operator="equal">
      <formula>"B1"</formula>
    </cfRule>
  </conditionalFormatting>
  <conditionalFormatting sqref="P10">
    <cfRule type="cellIs" dxfId="920" priority="970" stopIfTrue="1" operator="equal">
      <formula>"B1"</formula>
    </cfRule>
  </conditionalFormatting>
  <conditionalFormatting sqref="P10">
    <cfRule type="cellIs" dxfId="919" priority="969" stopIfTrue="1" operator="equal">
      <formula>"B1"</formula>
    </cfRule>
  </conditionalFormatting>
  <conditionalFormatting sqref="P10">
    <cfRule type="cellIs" dxfId="918" priority="968" stopIfTrue="1" operator="equal">
      <formula>"B1"</formula>
    </cfRule>
  </conditionalFormatting>
  <conditionalFormatting sqref="P10">
    <cfRule type="cellIs" dxfId="917" priority="967" stopIfTrue="1" operator="equal">
      <formula>"B1"</formula>
    </cfRule>
  </conditionalFormatting>
  <conditionalFormatting sqref="P10">
    <cfRule type="cellIs" dxfId="916" priority="966" stopIfTrue="1" operator="equal">
      <formula>"B1"</formula>
    </cfRule>
  </conditionalFormatting>
  <conditionalFormatting sqref="P10">
    <cfRule type="cellIs" dxfId="915" priority="965" stopIfTrue="1" operator="equal">
      <formula>"B1"</formula>
    </cfRule>
  </conditionalFormatting>
  <conditionalFormatting sqref="P10">
    <cfRule type="cellIs" dxfId="914" priority="964" stopIfTrue="1" operator="equal">
      <formula>IF(AND(OR(#REF!="W",#REF!="Q",#REF!="J"),$J10&lt;150),100)</formula>
    </cfRule>
  </conditionalFormatting>
  <conditionalFormatting sqref="P10">
    <cfRule type="cellIs" dxfId="913" priority="963" stopIfTrue="1" operator="equal">
      <formula>"B1"</formula>
    </cfRule>
  </conditionalFormatting>
  <conditionalFormatting sqref="P10">
    <cfRule type="cellIs" dxfId="912" priority="962" stopIfTrue="1" operator="equal">
      <formula>"B1"</formula>
    </cfRule>
  </conditionalFormatting>
  <conditionalFormatting sqref="P10">
    <cfRule type="cellIs" dxfId="911" priority="961" stopIfTrue="1" operator="equal">
      <formula>"B1"</formula>
    </cfRule>
  </conditionalFormatting>
  <conditionalFormatting sqref="P10">
    <cfRule type="cellIs" dxfId="910" priority="960" stopIfTrue="1" operator="equal">
      <formula>"B1"</formula>
    </cfRule>
  </conditionalFormatting>
  <conditionalFormatting sqref="P10">
    <cfRule type="cellIs" dxfId="909" priority="959" stopIfTrue="1" operator="equal">
      <formula>"B1"</formula>
    </cfRule>
  </conditionalFormatting>
  <conditionalFormatting sqref="P10">
    <cfRule type="cellIs" dxfId="908" priority="958" stopIfTrue="1" operator="equal">
      <formula>"B1"</formula>
    </cfRule>
  </conditionalFormatting>
  <conditionalFormatting sqref="P10">
    <cfRule type="cellIs" dxfId="907" priority="957" stopIfTrue="1" operator="equal">
      <formula>"B1"</formula>
    </cfRule>
  </conditionalFormatting>
  <conditionalFormatting sqref="P10">
    <cfRule type="cellIs" dxfId="906" priority="956" stopIfTrue="1" operator="equal">
      <formula>"B1"</formula>
    </cfRule>
  </conditionalFormatting>
  <conditionalFormatting sqref="P10">
    <cfRule type="cellIs" dxfId="905" priority="955" stopIfTrue="1" operator="equal">
      <formula>IF(AND(OR(#REF!="W",#REF!="Q",#REF!="J"),$J10&lt;150),100)</formula>
    </cfRule>
  </conditionalFormatting>
  <conditionalFormatting sqref="P10">
    <cfRule type="cellIs" dxfId="904" priority="954" stopIfTrue="1" operator="equal">
      <formula>"B1"</formula>
    </cfRule>
  </conditionalFormatting>
  <conditionalFormatting sqref="P10">
    <cfRule type="cellIs" dxfId="903" priority="953" stopIfTrue="1" operator="equal">
      <formula>"B1"</formula>
    </cfRule>
  </conditionalFormatting>
  <conditionalFormatting sqref="P10">
    <cfRule type="cellIs" dxfId="902" priority="952" stopIfTrue="1" operator="equal">
      <formula>"B1"</formula>
    </cfRule>
  </conditionalFormatting>
  <conditionalFormatting sqref="P10">
    <cfRule type="cellIs" dxfId="901" priority="951" stopIfTrue="1" operator="equal">
      <formula>"B1"</formula>
    </cfRule>
  </conditionalFormatting>
  <conditionalFormatting sqref="P10">
    <cfRule type="cellIs" dxfId="900" priority="950" stopIfTrue="1" operator="equal">
      <formula>"B1"</formula>
    </cfRule>
  </conditionalFormatting>
  <conditionalFormatting sqref="P10">
    <cfRule type="cellIs" dxfId="899" priority="949" stopIfTrue="1" operator="equal">
      <formula>"B1"</formula>
    </cfRule>
  </conditionalFormatting>
  <conditionalFormatting sqref="P10">
    <cfRule type="cellIs" dxfId="898" priority="948" stopIfTrue="1" operator="equal">
      <formula>"B1"</formula>
    </cfRule>
  </conditionalFormatting>
  <conditionalFormatting sqref="P10">
    <cfRule type="cellIs" dxfId="897" priority="947" stopIfTrue="1" operator="equal">
      <formula>"B1"</formula>
    </cfRule>
  </conditionalFormatting>
  <conditionalFormatting sqref="P10">
    <cfRule type="cellIs" dxfId="896" priority="946" stopIfTrue="1" operator="equal">
      <formula>IF(AND(OR(#REF!="W",#REF!="Q",#REF!="J"),$J10&lt;150),100)</formula>
    </cfRule>
  </conditionalFormatting>
  <conditionalFormatting sqref="P10">
    <cfRule type="cellIs" dxfId="895" priority="945" stopIfTrue="1" operator="equal">
      <formula>"B1"</formula>
    </cfRule>
  </conditionalFormatting>
  <conditionalFormatting sqref="P10">
    <cfRule type="cellIs" dxfId="894" priority="944" stopIfTrue="1" operator="equal">
      <formula>"B1"</formula>
    </cfRule>
  </conditionalFormatting>
  <conditionalFormatting sqref="P10">
    <cfRule type="cellIs" dxfId="893" priority="943" stopIfTrue="1" operator="equal">
      <formula>"B1"</formula>
    </cfRule>
  </conditionalFormatting>
  <conditionalFormatting sqref="P10">
    <cfRule type="cellIs" dxfId="892" priority="942" stopIfTrue="1" operator="equal">
      <formula>"B1"</formula>
    </cfRule>
  </conditionalFormatting>
  <conditionalFormatting sqref="P10">
    <cfRule type="cellIs" dxfId="891" priority="941" stopIfTrue="1" operator="equal">
      <formula>"B1"</formula>
    </cfRule>
  </conditionalFormatting>
  <conditionalFormatting sqref="P10">
    <cfRule type="cellIs" dxfId="890" priority="940" stopIfTrue="1" operator="equal">
      <formula>"B1"</formula>
    </cfRule>
  </conditionalFormatting>
  <conditionalFormatting sqref="P10">
    <cfRule type="cellIs" dxfId="889" priority="939" stopIfTrue="1" operator="equal">
      <formula>"B1"</formula>
    </cfRule>
  </conditionalFormatting>
  <conditionalFormatting sqref="P10">
    <cfRule type="cellIs" dxfId="888" priority="938" stopIfTrue="1" operator="equal">
      <formula>"B1"</formula>
    </cfRule>
  </conditionalFormatting>
  <conditionalFormatting sqref="P10">
    <cfRule type="cellIs" dxfId="887" priority="937" stopIfTrue="1" operator="equal">
      <formula>IF(AND(OR(#REF!="W",#REF!="Q",#REF!="J"),$J10&lt;150),100)</formula>
    </cfRule>
  </conditionalFormatting>
  <conditionalFormatting sqref="P10">
    <cfRule type="cellIs" dxfId="886" priority="936" stopIfTrue="1" operator="equal">
      <formula>"B1"</formula>
    </cfRule>
  </conditionalFormatting>
  <conditionalFormatting sqref="P10">
    <cfRule type="cellIs" dxfId="885" priority="935" stopIfTrue="1" operator="equal">
      <formula>"B1"</formula>
    </cfRule>
  </conditionalFormatting>
  <conditionalFormatting sqref="P10">
    <cfRule type="cellIs" dxfId="884" priority="934" stopIfTrue="1" operator="equal">
      <formula>"B1"</formula>
    </cfRule>
  </conditionalFormatting>
  <conditionalFormatting sqref="P10">
    <cfRule type="cellIs" dxfId="883" priority="933" stopIfTrue="1" operator="equal">
      <formula>"B1"</formula>
    </cfRule>
  </conditionalFormatting>
  <conditionalFormatting sqref="P10">
    <cfRule type="cellIs" dxfId="882" priority="932" stopIfTrue="1" operator="equal">
      <formula>"B1"</formula>
    </cfRule>
  </conditionalFormatting>
  <conditionalFormatting sqref="P10">
    <cfRule type="cellIs" dxfId="881" priority="931" stopIfTrue="1" operator="equal">
      <formula>"B1"</formula>
    </cfRule>
  </conditionalFormatting>
  <conditionalFormatting sqref="P10">
    <cfRule type="cellIs" dxfId="880" priority="930" stopIfTrue="1" operator="equal">
      <formula>"B1"</formula>
    </cfRule>
  </conditionalFormatting>
  <conditionalFormatting sqref="P10">
    <cfRule type="cellIs" dxfId="879" priority="929" stopIfTrue="1" operator="equal">
      <formula>"B1"</formula>
    </cfRule>
  </conditionalFormatting>
  <conditionalFormatting sqref="P10">
    <cfRule type="cellIs" dxfId="878" priority="928" stopIfTrue="1" operator="equal">
      <formula>IF(AND(OR(#REF!="W",#REF!="Q",#REF!="J"),$J10&lt;150),100)</formula>
    </cfRule>
  </conditionalFormatting>
  <conditionalFormatting sqref="P10">
    <cfRule type="cellIs" dxfId="877" priority="927" stopIfTrue="1" operator="equal">
      <formula>"B1"</formula>
    </cfRule>
  </conditionalFormatting>
  <conditionalFormatting sqref="P10">
    <cfRule type="cellIs" dxfId="876" priority="926" stopIfTrue="1" operator="equal">
      <formula>"B1"</formula>
    </cfRule>
  </conditionalFormatting>
  <conditionalFormatting sqref="P10">
    <cfRule type="cellIs" dxfId="875" priority="925" stopIfTrue="1" operator="equal">
      <formula>"B1"</formula>
    </cfRule>
  </conditionalFormatting>
  <conditionalFormatting sqref="P10">
    <cfRule type="cellIs" dxfId="874" priority="924" stopIfTrue="1" operator="equal">
      <formula>"B1"</formula>
    </cfRule>
  </conditionalFormatting>
  <conditionalFormatting sqref="P10">
    <cfRule type="cellIs" dxfId="873" priority="923" stopIfTrue="1" operator="equal">
      <formula>"B1"</formula>
    </cfRule>
  </conditionalFormatting>
  <conditionalFormatting sqref="P10">
    <cfRule type="cellIs" dxfId="872" priority="922" stopIfTrue="1" operator="equal">
      <formula>"B1"</formula>
    </cfRule>
  </conditionalFormatting>
  <conditionalFormatting sqref="P10">
    <cfRule type="cellIs" dxfId="871" priority="921" stopIfTrue="1" operator="equal">
      <formula>"B1"</formula>
    </cfRule>
  </conditionalFormatting>
  <conditionalFormatting sqref="P10">
    <cfRule type="cellIs" dxfId="870" priority="920" stopIfTrue="1" operator="equal">
      <formula>"B1"</formula>
    </cfRule>
  </conditionalFormatting>
  <conditionalFormatting sqref="P10">
    <cfRule type="cellIs" dxfId="869" priority="919" stopIfTrue="1" operator="equal">
      <formula>IF(AND(OR(#REF!="W",#REF!="Q",#REF!="J"),$J10&lt;150),100)</formula>
    </cfRule>
  </conditionalFormatting>
  <conditionalFormatting sqref="P10">
    <cfRule type="cellIs" dxfId="868" priority="918" stopIfTrue="1" operator="equal">
      <formula>"B1"</formula>
    </cfRule>
  </conditionalFormatting>
  <conditionalFormatting sqref="P10">
    <cfRule type="cellIs" dxfId="867" priority="917" stopIfTrue="1" operator="equal">
      <formula>"B1"</formula>
    </cfRule>
  </conditionalFormatting>
  <conditionalFormatting sqref="P10">
    <cfRule type="cellIs" dxfId="866" priority="916" stopIfTrue="1" operator="equal">
      <formula>"B1"</formula>
    </cfRule>
  </conditionalFormatting>
  <conditionalFormatting sqref="P10">
    <cfRule type="cellIs" dxfId="865" priority="915" stopIfTrue="1" operator="equal">
      <formula>"B1"</formula>
    </cfRule>
  </conditionalFormatting>
  <conditionalFormatting sqref="P10">
    <cfRule type="cellIs" dxfId="864" priority="914" stopIfTrue="1" operator="equal">
      <formula>"B1"</formula>
    </cfRule>
  </conditionalFormatting>
  <conditionalFormatting sqref="P10">
    <cfRule type="cellIs" dxfId="863" priority="913" stopIfTrue="1" operator="equal">
      <formula>"B1"</formula>
    </cfRule>
  </conditionalFormatting>
  <conditionalFormatting sqref="P10">
    <cfRule type="cellIs" dxfId="862" priority="912" stopIfTrue="1" operator="equal">
      <formula>"B1"</formula>
    </cfRule>
  </conditionalFormatting>
  <conditionalFormatting sqref="P10">
    <cfRule type="cellIs" dxfId="861" priority="911" stopIfTrue="1" operator="equal">
      <formula>"B1"</formula>
    </cfRule>
  </conditionalFormatting>
  <conditionalFormatting sqref="P10">
    <cfRule type="cellIs" dxfId="860" priority="910" stopIfTrue="1" operator="equal">
      <formula>IF(AND(OR(#REF!="W",#REF!="Q",#REF!="J"),$J10&lt;150),100)</formula>
    </cfRule>
  </conditionalFormatting>
  <conditionalFormatting sqref="P10">
    <cfRule type="cellIs" dxfId="859" priority="909" stopIfTrue="1" operator="equal">
      <formula>"B1"</formula>
    </cfRule>
  </conditionalFormatting>
  <conditionalFormatting sqref="P10">
    <cfRule type="cellIs" dxfId="858" priority="908" stopIfTrue="1" operator="equal">
      <formula>"B1"</formula>
    </cfRule>
  </conditionalFormatting>
  <conditionalFormatting sqref="P10">
    <cfRule type="cellIs" dxfId="857" priority="907" stopIfTrue="1" operator="equal">
      <formula>"B1"</formula>
    </cfRule>
  </conditionalFormatting>
  <conditionalFormatting sqref="P10">
    <cfRule type="cellIs" dxfId="856" priority="906" stopIfTrue="1" operator="equal">
      <formula>"B1"</formula>
    </cfRule>
  </conditionalFormatting>
  <conditionalFormatting sqref="P10">
    <cfRule type="cellIs" dxfId="855" priority="905" stopIfTrue="1" operator="equal">
      <formula>"B1"</formula>
    </cfRule>
  </conditionalFormatting>
  <conditionalFormatting sqref="P10">
    <cfRule type="cellIs" dxfId="854" priority="904" stopIfTrue="1" operator="equal">
      <formula>"B1"</formula>
    </cfRule>
  </conditionalFormatting>
  <conditionalFormatting sqref="P10">
    <cfRule type="cellIs" dxfId="853" priority="903" stopIfTrue="1" operator="equal">
      <formula>"B1"</formula>
    </cfRule>
  </conditionalFormatting>
  <conditionalFormatting sqref="P10">
    <cfRule type="cellIs" dxfId="852" priority="902" stopIfTrue="1" operator="equal">
      <formula>"B1"</formula>
    </cfRule>
  </conditionalFormatting>
  <conditionalFormatting sqref="P10">
    <cfRule type="cellIs" dxfId="851" priority="901" stopIfTrue="1" operator="equal">
      <formula>IF(AND(OR(#REF!="W",#REF!="Q",#REF!="J"),$J10&lt;150),100)</formula>
    </cfRule>
  </conditionalFormatting>
  <conditionalFormatting sqref="P10">
    <cfRule type="cellIs" dxfId="850" priority="900" stopIfTrue="1" operator="equal">
      <formula>"B1"</formula>
    </cfRule>
  </conditionalFormatting>
  <conditionalFormatting sqref="P10">
    <cfRule type="cellIs" dxfId="849" priority="899" stopIfTrue="1" operator="equal">
      <formula>"B1"</formula>
    </cfRule>
  </conditionalFormatting>
  <conditionalFormatting sqref="P10">
    <cfRule type="cellIs" dxfId="848" priority="898" stopIfTrue="1" operator="equal">
      <formula>"B1"</formula>
    </cfRule>
  </conditionalFormatting>
  <conditionalFormatting sqref="P10">
    <cfRule type="cellIs" dxfId="847" priority="897" stopIfTrue="1" operator="equal">
      <formula>"B1"</formula>
    </cfRule>
  </conditionalFormatting>
  <conditionalFormatting sqref="P10">
    <cfRule type="cellIs" dxfId="846" priority="896" stopIfTrue="1" operator="equal">
      <formula>"B1"</formula>
    </cfRule>
  </conditionalFormatting>
  <conditionalFormatting sqref="P10">
    <cfRule type="cellIs" dxfId="845" priority="895" stopIfTrue="1" operator="equal">
      <formula>"B1"</formula>
    </cfRule>
  </conditionalFormatting>
  <conditionalFormatting sqref="P10">
    <cfRule type="cellIs" dxfId="844" priority="894" stopIfTrue="1" operator="equal">
      <formula>"B1"</formula>
    </cfRule>
  </conditionalFormatting>
  <conditionalFormatting sqref="P10">
    <cfRule type="cellIs" dxfId="843" priority="893" stopIfTrue="1" operator="equal">
      <formula>"B1"</formula>
    </cfRule>
  </conditionalFormatting>
  <conditionalFormatting sqref="P10">
    <cfRule type="cellIs" dxfId="842" priority="892" stopIfTrue="1" operator="equal">
      <formula>IF(AND(OR(#REF!="W",#REF!="Q",#REF!="J"),$J10&lt;150),100)</formula>
    </cfRule>
  </conditionalFormatting>
  <conditionalFormatting sqref="P10">
    <cfRule type="cellIs" dxfId="841" priority="891" stopIfTrue="1" operator="equal">
      <formula>"B1"</formula>
    </cfRule>
  </conditionalFormatting>
  <conditionalFormatting sqref="P10">
    <cfRule type="cellIs" dxfId="840" priority="890" stopIfTrue="1" operator="equal">
      <formula>"B1"</formula>
    </cfRule>
  </conditionalFormatting>
  <conditionalFormatting sqref="P10">
    <cfRule type="cellIs" dxfId="839" priority="889" stopIfTrue="1" operator="equal">
      <formula>"B1"</formula>
    </cfRule>
  </conditionalFormatting>
  <conditionalFormatting sqref="P10">
    <cfRule type="cellIs" dxfId="838" priority="888" stopIfTrue="1" operator="equal">
      <formula>"B1"</formula>
    </cfRule>
  </conditionalFormatting>
  <conditionalFormatting sqref="P10">
    <cfRule type="cellIs" dxfId="837" priority="887" stopIfTrue="1" operator="equal">
      <formula>"B1"</formula>
    </cfRule>
  </conditionalFormatting>
  <conditionalFormatting sqref="P10">
    <cfRule type="cellIs" dxfId="836" priority="886" stopIfTrue="1" operator="equal">
      <formula>"B1"</formula>
    </cfRule>
  </conditionalFormatting>
  <conditionalFormatting sqref="P10">
    <cfRule type="cellIs" dxfId="835" priority="885" stopIfTrue="1" operator="equal">
      <formula>"B1"</formula>
    </cfRule>
  </conditionalFormatting>
  <conditionalFormatting sqref="P10">
    <cfRule type="cellIs" dxfId="834" priority="884" stopIfTrue="1" operator="equal">
      <formula>"B1"</formula>
    </cfRule>
  </conditionalFormatting>
  <conditionalFormatting sqref="P10">
    <cfRule type="cellIs" dxfId="833" priority="883" stopIfTrue="1" operator="equal">
      <formula>IF(AND(OR(#REF!="W",#REF!="Q",#REF!="J"),$J10&lt;150),100)</formula>
    </cfRule>
  </conditionalFormatting>
  <conditionalFormatting sqref="P10">
    <cfRule type="cellIs" dxfId="832" priority="882" stopIfTrue="1" operator="equal">
      <formula>"B1"</formula>
    </cfRule>
  </conditionalFormatting>
  <conditionalFormatting sqref="P10">
    <cfRule type="cellIs" dxfId="831" priority="881" stopIfTrue="1" operator="equal">
      <formula>"B1"</formula>
    </cfRule>
  </conditionalFormatting>
  <conditionalFormatting sqref="P10">
    <cfRule type="cellIs" dxfId="830" priority="880" stopIfTrue="1" operator="equal">
      <formula>"B1"</formula>
    </cfRule>
  </conditionalFormatting>
  <conditionalFormatting sqref="P10">
    <cfRule type="cellIs" dxfId="829" priority="879" stopIfTrue="1" operator="equal">
      <formula>"B1"</formula>
    </cfRule>
  </conditionalFormatting>
  <conditionalFormatting sqref="P10">
    <cfRule type="cellIs" dxfId="828" priority="878" stopIfTrue="1" operator="equal">
      <formula>"B1"</formula>
    </cfRule>
  </conditionalFormatting>
  <conditionalFormatting sqref="P10">
    <cfRule type="cellIs" dxfId="827" priority="877" stopIfTrue="1" operator="equal">
      <formula>"B1"</formula>
    </cfRule>
  </conditionalFormatting>
  <conditionalFormatting sqref="P10">
    <cfRule type="cellIs" dxfId="826" priority="876" stopIfTrue="1" operator="equal">
      <formula>"B1"</formula>
    </cfRule>
  </conditionalFormatting>
  <conditionalFormatting sqref="P10">
    <cfRule type="cellIs" dxfId="825" priority="875" stopIfTrue="1" operator="equal">
      <formula>"B1"</formula>
    </cfRule>
  </conditionalFormatting>
  <conditionalFormatting sqref="P10">
    <cfRule type="cellIs" dxfId="824" priority="874" stopIfTrue="1" operator="equal">
      <formula>IF(AND(OR(#REF!="W",#REF!="Q",#REF!="J"),$J10&lt;150),100)</formula>
    </cfRule>
  </conditionalFormatting>
  <conditionalFormatting sqref="P10">
    <cfRule type="cellIs" dxfId="823" priority="873" stopIfTrue="1" operator="equal">
      <formula>"B1"</formula>
    </cfRule>
  </conditionalFormatting>
  <conditionalFormatting sqref="P10">
    <cfRule type="cellIs" dxfId="822" priority="872" stopIfTrue="1" operator="equal">
      <formula>"B1"</formula>
    </cfRule>
  </conditionalFormatting>
  <conditionalFormatting sqref="P10">
    <cfRule type="cellIs" dxfId="821" priority="871" stopIfTrue="1" operator="equal">
      <formula>"B1"</formula>
    </cfRule>
  </conditionalFormatting>
  <conditionalFormatting sqref="P10">
    <cfRule type="cellIs" dxfId="820" priority="870" stopIfTrue="1" operator="equal">
      <formula>"B1"</formula>
    </cfRule>
  </conditionalFormatting>
  <conditionalFormatting sqref="P10">
    <cfRule type="cellIs" dxfId="819" priority="869" stopIfTrue="1" operator="equal">
      <formula>"B1"</formula>
    </cfRule>
  </conditionalFormatting>
  <conditionalFormatting sqref="P10">
    <cfRule type="cellIs" dxfId="818" priority="868" stopIfTrue="1" operator="equal">
      <formula>"B1"</formula>
    </cfRule>
  </conditionalFormatting>
  <conditionalFormatting sqref="P10">
    <cfRule type="cellIs" dxfId="817" priority="867" stopIfTrue="1" operator="equal">
      <formula>"B1"</formula>
    </cfRule>
  </conditionalFormatting>
  <conditionalFormatting sqref="P10">
    <cfRule type="cellIs" dxfId="816" priority="866" stopIfTrue="1" operator="equal">
      <formula>"B1"</formula>
    </cfRule>
  </conditionalFormatting>
  <conditionalFormatting sqref="P10">
    <cfRule type="cellIs" dxfId="815" priority="865" stopIfTrue="1" operator="equal">
      <formula>IF(AND(OR(#REF!="W",#REF!="Q",#REF!="J"),$J10&lt;150),100)</formula>
    </cfRule>
  </conditionalFormatting>
  <conditionalFormatting sqref="P10">
    <cfRule type="cellIs" dxfId="814" priority="864" stopIfTrue="1" operator="equal">
      <formula>"B1"</formula>
    </cfRule>
  </conditionalFormatting>
  <conditionalFormatting sqref="P10">
    <cfRule type="cellIs" dxfId="813" priority="863" stopIfTrue="1" operator="equal">
      <formula>"B1"</formula>
    </cfRule>
  </conditionalFormatting>
  <conditionalFormatting sqref="P10">
    <cfRule type="cellIs" dxfId="812" priority="862" stopIfTrue="1" operator="equal">
      <formula>"B1"</formula>
    </cfRule>
  </conditionalFormatting>
  <conditionalFormatting sqref="P10">
    <cfRule type="cellIs" dxfId="811" priority="861" stopIfTrue="1" operator="equal">
      <formula>"B1"</formula>
    </cfRule>
  </conditionalFormatting>
  <conditionalFormatting sqref="P10">
    <cfRule type="cellIs" dxfId="810" priority="860" stopIfTrue="1" operator="equal">
      <formula>"B1"</formula>
    </cfRule>
  </conditionalFormatting>
  <conditionalFormatting sqref="P10">
    <cfRule type="cellIs" dxfId="809" priority="859" stopIfTrue="1" operator="equal">
      <formula>"B1"</formula>
    </cfRule>
  </conditionalFormatting>
  <conditionalFormatting sqref="P10">
    <cfRule type="cellIs" dxfId="808" priority="858" stopIfTrue="1" operator="equal">
      <formula>"B1"</formula>
    </cfRule>
  </conditionalFormatting>
  <conditionalFormatting sqref="P10">
    <cfRule type="cellIs" dxfId="807" priority="857" stopIfTrue="1" operator="equal">
      <formula>"B1"</formula>
    </cfRule>
  </conditionalFormatting>
  <conditionalFormatting sqref="P10">
    <cfRule type="cellIs" dxfId="806" priority="856" stopIfTrue="1" operator="equal">
      <formula>IF(AND(OR(#REF!="W",#REF!="Q",#REF!="J"),$J10&lt;150),100)</formula>
    </cfRule>
  </conditionalFormatting>
  <conditionalFormatting sqref="P10">
    <cfRule type="cellIs" dxfId="805" priority="855" stopIfTrue="1" operator="equal">
      <formula>"B1"</formula>
    </cfRule>
  </conditionalFormatting>
  <conditionalFormatting sqref="P10">
    <cfRule type="cellIs" dxfId="804" priority="854" stopIfTrue="1" operator="equal">
      <formula>"B1"</formula>
    </cfRule>
  </conditionalFormatting>
  <conditionalFormatting sqref="P10">
    <cfRule type="cellIs" dxfId="803" priority="853" stopIfTrue="1" operator="equal">
      <formula>"B1"</formula>
    </cfRule>
  </conditionalFormatting>
  <conditionalFormatting sqref="P10">
    <cfRule type="cellIs" dxfId="802" priority="852" stopIfTrue="1" operator="equal">
      <formula>"B1"</formula>
    </cfRule>
  </conditionalFormatting>
  <conditionalFormatting sqref="P10">
    <cfRule type="cellIs" dxfId="801" priority="851" stopIfTrue="1" operator="equal">
      <formula>"B1"</formula>
    </cfRule>
  </conditionalFormatting>
  <conditionalFormatting sqref="P10">
    <cfRule type="cellIs" dxfId="800" priority="850" stopIfTrue="1" operator="equal">
      <formula>"B1"</formula>
    </cfRule>
  </conditionalFormatting>
  <conditionalFormatting sqref="P10">
    <cfRule type="cellIs" dxfId="799" priority="849" stopIfTrue="1" operator="equal">
      <formula>"B1"</formula>
    </cfRule>
  </conditionalFormatting>
  <conditionalFormatting sqref="P10">
    <cfRule type="cellIs" dxfId="798" priority="848" stopIfTrue="1" operator="equal">
      <formula>"B1"</formula>
    </cfRule>
  </conditionalFormatting>
  <conditionalFormatting sqref="P10">
    <cfRule type="cellIs" dxfId="797" priority="847" stopIfTrue="1" operator="equal">
      <formula>IF(AND(OR(#REF!="W",#REF!="Q",#REF!="J"),$J10&lt;150),100)</formula>
    </cfRule>
  </conditionalFormatting>
  <conditionalFormatting sqref="P10">
    <cfRule type="cellIs" dxfId="796" priority="846" stopIfTrue="1" operator="equal">
      <formula>"B1"</formula>
    </cfRule>
  </conditionalFormatting>
  <conditionalFormatting sqref="P10">
    <cfRule type="cellIs" dxfId="795" priority="845" stopIfTrue="1" operator="equal">
      <formula>"B1"</formula>
    </cfRule>
  </conditionalFormatting>
  <conditionalFormatting sqref="P10">
    <cfRule type="cellIs" dxfId="794" priority="844" stopIfTrue="1" operator="equal">
      <formula>"B1"</formula>
    </cfRule>
  </conditionalFormatting>
  <conditionalFormatting sqref="P10">
    <cfRule type="cellIs" dxfId="793" priority="843" stopIfTrue="1" operator="equal">
      <formula>"B1"</formula>
    </cfRule>
  </conditionalFormatting>
  <conditionalFormatting sqref="P10">
    <cfRule type="cellIs" dxfId="792" priority="842" stopIfTrue="1" operator="equal">
      <formula>"B1"</formula>
    </cfRule>
  </conditionalFormatting>
  <conditionalFormatting sqref="P10">
    <cfRule type="cellIs" dxfId="791" priority="841" stopIfTrue="1" operator="equal">
      <formula>"B1"</formula>
    </cfRule>
  </conditionalFormatting>
  <conditionalFormatting sqref="P10">
    <cfRule type="cellIs" dxfId="790" priority="840" stopIfTrue="1" operator="equal">
      <formula>"B1"</formula>
    </cfRule>
  </conditionalFormatting>
  <conditionalFormatting sqref="P10">
    <cfRule type="cellIs" dxfId="789" priority="839" stopIfTrue="1" operator="equal">
      <formula>"B1"</formula>
    </cfRule>
  </conditionalFormatting>
  <conditionalFormatting sqref="P10">
    <cfRule type="cellIs" dxfId="788" priority="838" stopIfTrue="1" operator="equal">
      <formula>IF(AND(OR(#REF!="W",#REF!="Q",#REF!="J"),$J10&lt;150),100)</formula>
    </cfRule>
  </conditionalFormatting>
  <conditionalFormatting sqref="P10">
    <cfRule type="cellIs" dxfId="787" priority="837" stopIfTrue="1" operator="equal">
      <formula>"B1"</formula>
    </cfRule>
  </conditionalFormatting>
  <conditionalFormatting sqref="P10">
    <cfRule type="cellIs" dxfId="786" priority="836" stopIfTrue="1" operator="equal">
      <formula>"B1"</formula>
    </cfRule>
  </conditionalFormatting>
  <conditionalFormatting sqref="P10">
    <cfRule type="cellIs" dxfId="785" priority="835" stopIfTrue="1" operator="equal">
      <formula>"B1"</formula>
    </cfRule>
  </conditionalFormatting>
  <conditionalFormatting sqref="P10">
    <cfRule type="cellIs" dxfId="784" priority="834" stopIfTrue="1" operator="equal">
      <formula>"B1"</formula>
    </cfRule>
  </conditionalFormatting>
  <conditionalFormatting sqref="P10">
    <cfRule type="cellIs" dxfId="783" priority="833" stopIfTrue="1" operator="equal">
      <formula>"B1"</formula>
    </cfRule>
  </conditionalFormatting>
  <conditionalFormatting sqref="P10">
    <cfRule type="cellIs" dxfId="782" priority="832" stopIfTrue="1" operator="equal">
      <formula>"B1"</formula>
    </cfRule>
  </conditionalFormatting>
  <conditionalFormatting sqref="P10">
    <cfRule type="cellIs" dxfId="781" priority="831" stopIfTrue="1" operator="equal">
      <formula>"B1"</formula>
    </cfRule>
  </conditionalFormatting>
  <conditionalFormatting sqref="P10">
    <cfRule type="cellIs" dxfId="780" priority="830" stopIfTrue="1" operator="equal">
      <formula>"B1"</formula>
    </cfRule>
  </conditionalFormatting>
  <conditionalFormatting sqref="P10">
    <cfRule type="cellIs" dxfId="779" priority="829" stopIfTrue="1" operator="equal">
      <formula>IF(AND(OR(#REF!="W",#REF!="Q",#REF!="J"),$J10&lt;150),100)</formula>
    </cfRule>
  </conditionalFormatting>
  <conditionalFormatting sqref="P10">
    <cfRule type="cellIs" dxfId="778" priority="828" stopIfTrue="1" operator="equal">
      <formula>"B1"</formula>
    </cfRule>
  </conditionalFormatting>
  <conditionalFormatting sqref="P10">
    <cfRule type="cellIs" dxfId="777" priority="827" stopIfTrue="1" operator="equal">
      <formula>"B1"</formula>
    </cfRule>
  </conditionalFormatting>
  <conditionalFormatting sqref="P10">
    <cfRule type="cellIs" dxfId="776" priority="826" stopIfTrue="1" operator="equal">
      <formula>"B1"</formula>
    </cfRule>
  </conditionalFormatting>
  <conditionalFormatting sqref="P10">
    <cfRule type="cellIs" dxfId="775" priority="825" stopIfTrue="1" operator="equal">
      <formula>"B1"</formula>
    </cfRule>
  </conditionalFormatting>
  <conditionalFormatting sqref="P10">
    <cfRule type="cellIs" dxfId="774" priority="824" stopIfTrue="1" operator="equal">
      <formula>"B1"</formula>
    </cfRule>
  </conditionalFormatting>
  <conditionalFormatting sqref="P10">
    <cfRule type="cellIs" dxfId="773" priority="823" stopIfTrue="1" operator="equal">
      <formula>"B1"</formula>
    </cfRule>
  </conditionalFormatting>
  <conditionalFormatting sqref="P10">
    <cfRule type="cellIs" dxfId="772" priority="822" stopIfTrue="1" operator="equal">
      <formula>"B1"</formula>
    </cfRule>
  </conditionalFormatting>
  <conditionalFormatting sqref="P10">
    <cfRule type="cellIs" dxfId="771" priority="821" stopIfTrue="1" operator="equal">
      <formula>"B1"</formula>
    </cfRule>
  </conditionalFormatting>
  <conditionalFormatting sqref="P10">
    <cfRule type="cellIs" dxfId="770" priority="820" stopIfTrue="1" operator="equal">
      <formula>IF(AND(OR(#REF!="W",#REF!="Q",#REF!="J"),$J10&lt;150),100)</formula>
    </cfRule>
  </conditionalFormatting>
  <conditionalFormatting sqref="P10">
    <cfRule type="cellIs" dxfId="769" priority="819" stopIfTrue="1" operator="equal">
      <formula>"B1"</formula>
    </cfRule>
  </conditionalFormatting>
  <conditionalFormatting sqref="P10">
    <cfRule type="cellIs" dxfId="768" priority="818" stopIfTrue="1" operator="equal">
      <formula>"B1"</formula>
    </cfRule>
  </conditionalFormatting>
  <conditionalFormatting sqref="P10">
    <cfRule type="cellIs" dxfId="767" priority="817" stopIfTrue="1" operator="equal">
      <formula>"B1"</formula>
    </cfRule>
  </conditionalFormatting>
  <conditionalFormatting sqref="P10">
    <cfRule type="cellIs" dxfId="766" priority="816" stopIfTrue="1" operator="equal">
      <formula>"B1"</formula>
    </cfRule>
  </conditionalFormatting>
  <conditionalFormatting sqref="P10">
    <cfRule type="cellIs" dxfId="765" priority="815" stopIfTrue="1" operator="equal">
      <formula>"B1"</formula>
    </cfRule>
  </conditionalFormatting>
  <conditionalFormatting sqref="P10">
    <cfRule type="cellIs" dxfId="764" priority="814" stopIfTrue="1" operator="equal">
      <formula>"B1"</formula>
    </cfRule>
  </conditionalFormatting>
  <conditionalFormatting sqref="P10">
    <cfRule type="cellIs" dxfId="763" priority="813" stopIfTrue="1" operator="equal">
      <formula>"B1"</formula>
    </cfRule>
  </conditionalFormatting>
  <conditionalFormatting sqref="P10">
    <cfRule type="cellIs" dxfId="762" priority="812" stopIfTrue="1" operator="equal">
      <formula>"B1"</formula>
    </cfRule>
  </conditionalFormatting>
  <conditionalFormatting sqref="P9:P25">
    <cfRule type="cellIs" dxfId="761" priority="811" stopIfTrue="1" operator="equal">
      <formula>IF(AND(OR(#REF!="W",#REF!="Q",#REF!="J"),$J9&lt;150),100)</formula>
    </cfRule>
  </conditionalFormatting>
  <conditionalFormatting sqref="P9:P25">
    <cfRule type="cellIs" dxfId="760" priority="810" stopIfTrue="1" operator="equal">
      <formula>"B1"</formula>
    </cfRule>
  </conditionalFormatting>
  <conditionalFormatting sqref="P9:P25">
    <cfRule type="cellIs" dxfId="759" priority="809" stopIfTrue="1" operator="equal">
      <formula>"B1"</formula>
    </cfRule>
  </conditionalFormatting>
  <conditionalFormatting sqref="P9:P25">
    <cfRule type="cellIs" dxfId="758" priority="808" stopIfTrue="1" operator="equal">
      <formula>"B1"</formula>
    </cfRule>
  </conditionalFormatting>
  <conditionalFormatting sqref="P9:P25">
    <cfRule type="cellIs" dxfId="757" priority="807" stopIfTrue="1" operator="equal">
      <formula>"B1"</formula>
    </cfRule>
  </conditionalFormatting>
  <conditionalFormatting sqref="P9:P25">
    <cfRule type="cellIs" dxfId="756" priority="806" stopIfTrue="1" operator="equal">
      <formula>"B1"</formula>
    </cfRule>
  </conditionalFormatting>
  <conditionalFormatting sqref="P9:P25">
    <cfRule type="cellIs" dxfId="755" priority="805" stopIfTrue="1" operator="equal">
      <formula>"B1"</formula>
    </cfRule>
  </conditionalFormatting>
  <conditionalFormatting sqref="P9:P25">
    <cfRule type="cellIs" dxfId="754" priority="804" stopIfTrue="1" operator="equal">
      <formula>"B1"</formula>
    </cfRule>
  </conditionalFormatting>
  <conditionalFormatting sqref="P9:P25">
    <cfRule type="cellIs" dxfId="753" priority="803" stopIfTrue="1" operator="equal">
      <formula>"B1"</formula>
    </cfRule>
  </conditionalFormatting>
  <conditionalFormatting sqref="P9:P25">
    <cfRule type="cellIs" dxfId="752" priority="802" stopIfTrue="1" operator="equal">
      <formula>IF(AND(OR(#REF!="W",#REF!="Q",#REF!="J"),$J9&lt;150),100)</formula>
    </cfRule>
  </conditionalFormatting>
  <conditionalFormatting sqref="P9:P25">
    <cfRule type="cellIs" dxfId="751" priority="801" stopIfTrue="1" operator="equal">
      <formula>"B1"</formula>
    </cfRule>
  </conditionalFormatting>
  <conditionalFormatting sqref="P9:P25">
    <cfRule type="cellIs" dxfId="750" priority="800" stopIfTrue="1" operator="equal">
      <formula>"B1"</formula>
    </cfRule>
  </conditionalFormatting>
  <conditionalFormatting sqref="P9:P25">
    <cfRule type="cellIs" dxfId="749" priority="799" stopIfTrue="1" operator="equal">
      <formula>"B1"</formula>
    </cfRule>
  </conditionalFormatting>
  <conditionalFormatting sqref="P9:P25">
    <cfRule type="cellIs" dxfId="748" priority="798" stopIfTrue="1" operator="equal">
      <formula>"B1"</formula>
    </cfRule>
  </conditionalFormatting>
  <conditionalFormatting sqref="P9:P25">
    <cfRule type="cellIs" dxfId="747" priority="797" stopIfTrue="1" operator="equal">
      <formula>"B1"</formula>
    </cfRule>
  </conditionalFormatting>
  <conditionalFormatting sqref="P9:P25">
    <cfRule type="cellIs" dxfId="746" priority="796" stopIfTrue="1" operator="equal">
      <formula>"B1"</formula>
    </cfRule>
  </conditionalFormatting>
  <conditionalFormatting sqref="P9:P25">
    <cfRule type="cellIs" dxfId="745" priority="795" stopIfTrue="1" operator="equal">
      <formula>"B1"</formula>
    </cfRule>
  </conditionalFormatting>
  <conditionalFormatting sqref="P9:P25">
    <cfRule type="cellIs" dxfId="744" priority="794" stopIfTrue="1" operator="equal">
      <formula>"B1"</formula>
    </cfRule>
  </conditionalFormatting>
  <conditionalFormatting sqref="P9:P25">
    <cfRule type="cellIs" dxfId="743" priority="793" stopIfTrue="1" operator="equal">
      <formula>IF(AND(OR(#REF!="W",#REF!="Q",#REF!="J"),$J9&lt;150),100)</formula>
    </cfRule>
  </conditionalFormatting>
  <conditionalFormatting sqref="P9:P25">
    <cfRule type="cellIs" dxfId="742" priority="792" stopIfTrue="1" operator="equal">
      <formula>"B1"</formula>
    </cfRule>
  </conditionalFormatting>
  <conditionalFormatting sqref="P9:P25">
    <cfRule type="cellIs" dxfId="741" priority="791" stopIfTrue="1" operator="equal">
      <formula>"B1"</formula>
    </cfRule>
  </conditionalFormatting>
  <conditionalFormatting sqref="P9:P25">
    <cfRule type="cellIs" dxfId="740" priority="790" stopIfTrue="1" operator="equal">
      <formula>"B1"</formula>
    </cfRule>
  </conditionalFormatting>
  <conditionalFormatting sqref="P9:P25">
    <cfRule type="cellIs" dxfId="739" priority="789" stopIfTrue="1" operator="equal">
      <formula>"B1"</formula>
    </cfRule>
  </conditionalFormatting>
  <conditionalFormatting sqref="P9:P25">
    <cfRule type="cellIs" dxfId="738" priority="788" stopIfTrue="1" operator="equal">
      <formula>"B1"</formula>
    </cfRule>
  </conditionalFormatting>
  <conditionalFormatting sqref="P9:P25">
    <cfRule type="cellIs" dxfId="737" priority="787" stopIfTrue="1" operator="equal">
      <formula>"B1"</formula>
    </cfRule>
  </conditionalFormatting>
  <conditionalFormatting sqref="P9:P25">
    <cfRule type="cellIs" dxfId="736" priority="786" stopIfTrue="1" operator="equal">
      <formula>"B1"</formula>
    </cfRule>
  </conditionalFormatting>
  <conditionalFormatting sqref="P9:P25">
    <cfRule type="cellIs" dxfId="735" priority="785" stopIfTrue="1" operator="equal">
      <formula>"B1"</formula>
    </cfRule>
  </conditionalFormatting>
  <conditionalFormatting sqref="P9:P25">
    <cfRule type="cellIs" dxfId="734" priority="784" stopIfTrue="1" operator="equal">
      <formula>IF(AND(OR(#REF!="W",#REF!="Q",#REF!="J"),$J9&lt;150),100)</formula>
    </cfRule>
  </conditionalFormatting>
  <conditionalFormatting sqref="P9:P25">
    <cfRule type="cellIs" dxfId="733" priority="783" stopIfTrue="1" operator="equal">
      <formula>"B1"</formula>
    </cfRule>
  </conditionalFormatting>
  <conditionalFormatting sqref="P9:P25">
    <cfRule type="cellIs" dxfId="732" priority="782" stopIfTrue="1" operator="equal">
      <formula>"B1"</formula>
    </cfRule>
  </conditionalFormatting>
  <conditionalFormatting sqref="P9:P25">
    <cfRule type="cellIs" dxfId="731" priority="781" stopIfTrue="1" operator="equal">
      <formula>"B1"</formula>
    </cfRule>
  </conditionalFormatting>
  <conditionalFormatting sqref="P9:P25">
    <cfRule type="cellIs" dxfId="730" priority="780" stopIfTrue="1" operator="equal">
      <formula>"B1"</formula>
    </cfRule>
  </conditionalFormatting>
  <conditionalFormatting sqref="P9:P25">
    <cfRule type="cellIs" dxfId="729" priority="779" stopIfTrue="1" operator="equal">
      <formula>"B1"</formula>
    </cfRule>
  </conditionalFormatting>
  <conditionalFormatting sqref="P9:P25">
    <cfRule type="cellIs" dxfId="728" priority="778" stopIfTrue="1" operator="equal">
      <formula>"B1"</formula>
    </cfRule>
  </conditionalFormatting>
  <conditionalFormatting sqref="P9:P25">
    <cfRule type="cellIs" dxfId="727" priority="777" stopIfTrue="1" operator="equal">
      <formula>"B1"</formula>
    </cfRule>
  </conditionalFormatting>
  <conditionalFormatting sqref="P9:P25">
    <cfRule type="cellIs" dxfId="726" priority="776" stopIfTrue="1" operator="equal">
      <formula>"B1"</formula>
    </cfRule>
  </conditionalFormatting>
  <conditionalFormatting sqref="P9:P25">
    <cfRule type="cellIs" dxfId="725" priority="775" stopIfTrue="1" operator="equal">
      <formula>IF(AND(OR(#REF!="W",#REF!="Q",#REF!="J"),$J9&lt;150),100)</formula>
    </cfRule>
  </conditionalFormatting>
  <conditionalFormatting sqref="P9:P25">
    <cfRule type="cellIs" dxfId="724" priority="774" stopIfTrue="1" operator="equal">
      <formula>"B1"</formula>
    </cfRule>
  </conditionalFormatting>
  <conditionalFormatting sqref="P9:P25">
    <cfRule type="cellIs" dxfId="723" priority="773" stopIfTrue="1" operator="equal">
      <formula>"B1"</formula>
    </cfRule>
  </conditionalFormatting>
  <conditionalFormatting sqref="P9:P25">
    <cfRule type="cellIs" dxfId="722" priority="772" stopIfTrue="1" operator="equal">
      <formula>"B1"</formula>
    </cfRule>
  </conditionalFormatting>
  <conditionalFormatting sqref="P9:P25">
    <cfRule type="cellIs" dxfId="721" priority="771" stopIfTrue="1" operator="equal">
      <formula>"B1"</formula>
    </cfRule>
  </conditionalFormatting>
  <conditionalFormatting sqref="P9:P25">
    <cfRule type="cellIs" dxfId="720" priority="770" stopIfTrue="1" operator="equal">
      <formula>"B1"</formula>
    </cfRule>
  </conditionalFormatting>
  <conditionalFormatting sqref="P9:P25">
    <cfRule type="cellIs" dxfId="719" priority="769" stopIfTrue="1" operator="equal">
      <formula>"B1"</formula>
    </cfRule>
  </conditionalFormatting>
  <conditionalFormatting sqref="P9:P25">
    <cfRule type="cellIs" dxfId="718" priority="768" stopIfTrue="1" operator="equal">
      <formula>"B1"</formula>
    </cfRule>
  </conditionalFormatting>
  <conditionalFormatting sqref="P9:P25">
    <cfRule type="cellIs" dxfId="717" priority="767" stopIfTrue="1" operator="equal">
      <formula>"B1"</formula>
    </cfRule>
  </conditionalFormatting>
  <conditionalFormatting sqref="P9:P25">
    <cfRule type="cellIs" dxfId="716" priority="766" stopIfTrue="1" operator="equal">
      <formula>IF(AND(OR(#REF!="W",#REF!="Q",#REF!="J"),$J9&lt;150),100)</formula>
    </cfRule>
  </conditionalFormatting>
  <conditionalFormatting sqref="P9:P25">
    <cfRule type="cellIs" dxfId="715" priority="765" stopIfTrue="1" operator="equal">
      <formula>"B1"</formula>
    </cfRule>
  </conditionalFormatting>
  <conditionalFormatting sqref="P9:P25">
    <cfRule type="cellIs" dxfId="714" priority="764" stopIfTrue="1" operator="equal">
      <formula>"B1"</formula>
    </cfRule>
  </conditionalFormatting>
  <conditionalFormatting sqref="P9:P25">
    <cfRule type="cellIs" dxfId="713" priority="763" stopIfTrue="1" operator="equal">
      <formula>"B1"</formula>
    </cfRule>
  </conditionalFormatting>
  <conditionalFormatting sqref="P9:P25">
    <cfRule type="cellIs" dxfId="712" priority="762" stopIfTrue="1" operator="equal">
      <formula>"B1"</formula>
    </cfRule>
  </conditionalFormatting>
  <conditionalFormatting sqref="P9:P25">
    <cfRule type="cellIs" dxfId="711" priority="761" stopIfTrue="1" operator="equal">
      <formula>"B1"</formula>
    </cfRule>
  </conditionalFormatting>
  <conditionalFormatting sqref="P9:P25">
    <cfRule type="cellIs" dxfId="710" priority="760" stopIfTrue="1" operator="equal">
      <formula>"B1"</formula>
    </cfRule>
  </conditionalFormatting>
  <conditionalFormatting sqref="P9:P25">
    <cfRule type="cellIs" dxfId="709" priority="759" stopIfTrue="1" operator="equal">
      <formula>"B1"</formula>
    </cfRule>
  </conditionalFormatting>
  <conditionalFormatting sqref="P9:P25">
    <cfRule type="cellIs" dxfId="708" priority="758" stopIfTrue="1" operator="equal">
      <formula>"B1"</formula>
    </cfRule>
  </conditionalFormatting>
  <conditionalFormatting sqref="P9:P25">
    <cfRule type="cellIs" dxfId="707" priority="757" stopIfTrue="1" operator="equal">
      <formula>IF(AND(OR(#REF!="W",#REF!="Q",#REF!="J"),$J9&lt;150),100)</formula>
    </cfRule>
  </conditionalFormatting>
  <conditionalFormatting sqref="P9:P25">
    <cfRule type="cellIs" dxfId="706" priority="756" stopIfTrue="1" operator="equal">
      <formula>"B1"</formula>
    </cfRule>
  </conditionalFormatting>
  <conditionalFormatting sqref="P9:P25">
    <cfRule type="cellIs" dxfId="705" priority="755" stopIfTrue="1" operator="equal">
      <formula>"B1"</formula>
    </cfRule>
  </conditionalFormatting>
  <conditionalFormatting sqref="P9:P25">
    <cfRule type="cellIs" dxfId="704" priority="754" stopIfTrue="1" operator="equal">
      <formula>"B1"</formula>
    </cfRule>
  </conditionalFormatting>
  <conditionalFormatting sqref="P9:P25">
    <cfRule type="cellIs" dxfId="703" priority="753" stopIfTrue="1" operator="equal">
      <formula>"B1"</formula>
    </cfRule>
  </conditionalFormatting>
  <conditionalFormatting sqref="P9:P25">
    <cfRule type="cellIs" dxfId="702" priority="752" stopIfTrue="1" operator="equal">
      <formula>"B1"</formula>
    </cfRule>
  </conditionalFormatting>
  <conditionalFormatting sqref="P9:P25">
    <cfRule type="cellIs" dxfId="701" priority="751" stopIfTrue="1" operator="equal">
      <formula>"B1"</formula>
    </cfRule>
  </conditionalFormatting>
  <conditionalFormatting sqref="P9:P25">
    <cfRule type="cellIs" dxfId="700" priority="750" stopIfTrue="1" operator="equal">
      <formula>"B1"</formula>
    </cfRule>
  </conditionalFormatting>
  <conditionalFormatting sqref="P9:P25">
    <cfRule type="cellIs" dxfId="699" priority="749" stopIfTrue="1" operator="equal">
      <formula>"B1"</formula>
    </cfRule>
  </conditionalFormatting>
  <conditionalFormatting sqref="P9:P25">
    <cfRule type="cellIs" dxfId="698" priority="748" stopIfTrue="1" operator="equal">
      <formula>IF(AND(OR(#REF!="W",#REF!="Q",#REF!="J"),$J9&lt;150),100)</formula>
    </cfRule>
  </conditionalFormatting>
  <conditionalFormatting sqref="P9:P25">
    <cfRule type="cellIs" dxfId="697" priority="747" stopIfTrue="1" operator="equal">
      <formula>"B1"</formula>
    </cfRule>
  </conditionalFormatting>
  <conditionalFormatting sqref="P9:P25">
    <cfRule type="cellIs" dxfId="696" priority="746" stopIfTrue="1" operator="equal">
      <formula>"B1"</formula>
    </cfRule>
  </conditionalFormatting>
  <conditionalFormatting sqref="P9:P25">
    <cfRule type="cellIs" dxfId="695" priority="745" stopIfTrue="1" operator="equal">
      <formula>"B1"</formula>
    </cfRule>
  </conditionalFormatting>
  <conditionalFormatting sqref="P9:P25">
    <cfRule type="cellIs" dxfId="694" priority="744" stopIfTrue="1" operator="equal">
      <formula>"B1"</formula>
    </cfRule>
  </conditionalFormatting>
  <conditionalFormatting sqref="P9:P25">
    <cfRule type="cellIs" dxfId="693" priority="743" stopIfTrue="1" operator="equal">
      <formula>"B1"</formula>
    </cfRule>
  </conditionalFormatting>
  <conditionalFormatting sqref="P9:P25">
    <cfRule type="cellIs" dxfId="692" priority="742" stopIfTrue="1" operator="equal">
      <formula>"B1"</formula>
    </cfRule>
  </conditionalFormatting>
  <conditionalFormatting sqref="P9:P25">
    <cfRule type="cellIs" dxfId="691" priority="741" stopIfTrue="1" operator="equal">
      <formula>"B1"</formula>
    </cfRule>
  </conditionalFormatting>
  <conditionalFormatting sqref="P9:P25">
    <cfRule type="cellIs" dxfId="690" priority="740" stopIfTrue="1" operator="equal">
      <formula>"B1"</formula>
    </cfRule>
  </conditionalFormatting>
  <conditionalFormatting sqref="P9:P25">
    <cfRule type="cellIs" dxfId="689" priority="739" stopIfTrue="1" operator="equal">
      <formula>IF(AND(OR(#REF!="W",#REF!="Q",#REF!="J"),$J9&lt;150),100)</formula>
    </cfRule>
  </conditionalFormatting>
  <conditionalFormatting sqref="P9:P25">
    <cfRule type="cellIs" dxfId="688" priority="738" stopIfTrue="1" operator="equal">
      <formula>"B1"</formula>
    </cfRule>
  </conditionalFormatting>
  <conditionalFormatting sqref="P9:P25">
    <cfRule type="cellIs" dxfId="687" priority="737" stopIfTrue="1" operator="equal">
      <formula>"B1"</formula>
    </cfRule>
  </conditionalFormatting>
  <conditionalFormatting sqref="P9:P25">
    <cfRule type="cellIs" dxfId="686" priority="736" stopIfTrue="1" operator="equal">
      <formula>"B1"</formula>
    </cfRule>
  </conditionalFormatting>
  <conditionalFormatting sqref="P9:P25">
    <cfRule type="cellIs" dxfId="685" priority="735" stopIfTrue="1" operator="equal">
      <formula>"B1"</formula>
    </cfRule>
  </conditionalFormatting>
  <conditionalFormatting sqref="P9:P25">
    <cfRule type="cellIs" dxfId="684" priority="734" stopIfTrue="1" operator="equal">
      <formula>"B1"</formula>
    </cfRule>
  </conditionalFormatting>
  <conditionalFormatting sqref="P9:P25">
    <cfRule type="cellIs" dxfId="683" priority="733" stopIfTrue="1" operator="equal">
      <formula>"B1"</formula>
    </cfRule>
  </conditionalFormatting>
  <conditionalFormatting sqref="P9:P25">
    <cfRule type="cellIs" dxfId="682" priority="732" stopIfTrue="1" operator="equal">
      <formula>"B1"</formula>
    </cfRule>
  </conditionalFormatting>
  <conditionalFormatting sqref="P9:P25">
    <cfRule type="cellIs" dxfId="681" priority="731" stopIfTrue="1" operator="equal">
      <formula>"B1"</formula>
    </cfRule>
  </conditionalFormatting>
  <conditionalFormatting sqref="P9:P25">
    <cfRule type="cellIs" dxfId="680" priority="730" stopIfTrue="1" operator="equal">
      <formula>IF(AND(OR(#REF!="W",#REF!="Q",#REF!="J"),$J9&lt;150),100)</formula>
    </cfRule>
  </conditionalFormatting>
  <conditionalFormatting sqref="P9:P25">
    <cfRule type="cellIs" dxfId="679" priority="729" stopIfTrue="1" operator="equal">
      <formula>"B1"</formula>
    </cfRule>
  </conditionalFormatting>
  <conditionalFormatting sqref="P9:P25">
    <cfRule type="cellIs" dxfId="678" priority="728" stopIfTrue="1" operator="equal">
      <formula>"B1"</formula>
    </cfRule>
  </conditionalFormatting>
  <conditionalFormatting sqref="P9:P25">
    <cfRule type="cellIs" dxfId="677" priority="727" stopIfTrue="1" operator="equal">
      <formula>"B1"</formula>
    </cfRule>
  </conditionalFormatting>
  <conditionalFormatting sqref="P9:P25">
    <cfRule type="cellIs" dxfId="676" priority="726" stopIfTrue="1" operator="equal">
      <formula>"B1"</formula>
    </cfRule>
  </conditionalFormatting>
  <conditionalFormatting sqref="P9:P25">
    <cfRule type="cellIs" dxfId="675" priority="725" stopIfTrue="1" operator="equal">
      <formula>"B1"</formula>
    </cfRule>
  </conditionalFormatting>
  <conditionalFormatting sqref="P9:P25">
    <cfRule type="cellIs" dxfId="674" priority="724" stopIfTrue="1" operator="equal">
      <formula>"B1"</formula>
    </cfRule>
  </conditionalFormatting>
  <conditionalFormatting sqref="P9:P25">
    <cfRule type="cellIs" dxfId="673" priority="723" stopIfTrue="1" operator="equal">
      <formula>"B1"</formula>
    </cfRule>
  </conditionalFormatting>
  <conditionalFormatting sqref="P9:P25">
    <cfRule type="cellIs" dxfId="672" priority="722" stopIfTrue="1" operator="equal">
      <formula>"B1"</formula>
    </cfRule>
  </conditionalFormatting>
  <conditionalFormatting sqref="P9:P25">
    <cfRule type="cellIs" dxfId="671" priority="721" stopIfTrue="1" operator="equal">
      <formula>IF(AND(OR(#REF!="W",#REF!="Q",#REF!="J"),$J9&lt;150),100)</formula>
    </cfRule>
  </conditionalFormatting>
  <conditionalFormatting sqref="P9:P25">
    <cfRule type="cellIs" dxfId="670" priority="720" stopIfTrue="1" operator="equal">
      <formula>"B1"</formula>
    </cfRule>
  </conditionalFormatting>
  <conditionalFormatting sqref="P9:P25">
    <cfRule type="cellIs" dxfId="669" priority="719" stopIfTrue="1" operator="equal">
      <formula>"B1"</formula>
    </cfRule>
  </conditionalFormatting>
  <conditionalFormatting sqref="P9:P25">
    <cfRule type="cellIs" dxfId="668" priority="718" stopIfTrue="1" operator="equal">
      <formula>"B1"</formula>
    </cfRule>
  </conditionalFormatting>
  <conditionalFormatting sqref="P9:P25">
    <cfRule type="cellIs" dxfId="667" priority="717" stopIfTrue="1" operator="equal">
      <formula>"B1"</formula>
    </cfRule>
  </conditionalFormatting>
  <conditionalFormatting sqref="P9:P25">
    <cfRule type="cellIs" dxfId="666" priority="716" stopIfTrue="1" operator="equal">
      <formula>"B1"</formula>
    </cfRule>
  </conditionalFormatting>
  <conditionalFormatting sqref="P9:P25">
    <cfRule type="cellIs" dxfId="665" priority="715" stopIfTrue="1" operator="equal">
      <formula>"B1"</formula>
    </cfRule>
  </conditionalFormatting>
  <conditionalFormatting sqref="P9:P25">
    <cfRule type="cellIs" dxfId="664" priority="714" stopIfTrue="1" operator="equal">
      <formula>"B1"</formula>
    </cfRule>
  </conditionalFormatting>
  <conditionalFormatting sqref="P9:P25">
    <cfRule type="cellIs" dxfId="663" priority="713" stopIfTrue="1" operator="equal">
      <formula>"B1"</formula>
    </cfRule>
  </conditionalFormatting>
  <conditionalFormatting sqref="P9:P25">
    <cfRule type="cellIs" dxfId="662" priority="712" stopIfTrue="1" operator="equal">
      <formula>IF(AND(OR(#REF!="W",#REF!="Q",#REF!="J"),$J9&lt;150),100)</formula>
    </cfRule>
  </conditionalFormatting>
  <conditionalFormatting sqref="P9:P25">
    <cfRule type="cellIs" dxfId="661" priority="711" stopIfTrue="1" operator="equal">
      <formula>"B1"</formula>
    </cfRule>
  </conditionalFormatting>
  <conditionalFormatting sqref="P9:P25">
    <cfRule type="cellIs" dxfId="660" priority="710" stopIfTrue="1" operator="equal">
      <formula>"B1"</formula>
    </cfRule>
  </conditionalFormatting>
  <conditionalFormatting sqref="P9:P25">
    <cfRule type="cellIs" dxfId="659" priority="709" stopIfTrue="1" operator="equal">
      <formula>"B1"</formula>
    </cfRule>
  </conditionalFormatting>
  <conditionalFormatting sqref="P9:P25">
    <cfRule type="cellIs" dxfId="658" priority="708" stopIfTrue="1" operator="equal">
      <formula>"B1"</formula>
    </cfRule>
  </conditionalFormatting>
  <conditionalFormatting sqref="P9:P25">
    <cfRule type="cellIs" dxfId="657" priority="707" stopIfTrue="1" operator="equal">
      <formula>"B1"</formula>
    </cfRule>
  </conditionalFormatting>
  <conditionalFormatting sqref="P9:P25">
    <cfRule type="cellIs" dxfId="656" priority="706" stopIfTrue="1" operator="equal">
      <formula>"B1"</formula>
    </cfRule>
  </conditionalFormatting>
  <conditionalFormatting sqref="P9:P25">
    <cfRule type="cellIs" dxfId="655" priority="705" stopIfTrue="1" operator="equal">
      <formula>"B1"</formula>
    </cfRule>
  </conditionalFormatting>
  <conditionalFormatting sqref="P9:P25">
    <cfRule type="cellIs" dxfId="654" priority="704" stopIfTrue="1" operator="equal">
      <formula>"B1"</formula>
    </cfRule>
  </conditionalFormatting>
  <conditionalFormatting sqref="P9:P25">
    <cfRule type="cellIs" dxfId="653" priority="703" stopIfTrue="1" operator="equal">
      <formula>IF(AND(OR(#REF!="W",#REF!="Q",#REF!="J"),$J9&lt;150),100)</formula>
    </cfRule>
  </conditionalFormatting>
  <conditionalFormatting sqref="P9:P25">
    <cfRule type="cellIs" dxfId="652" priority="702" stopIfTrue="1" operator="equal">
      <formula>"B1"</formula>
    </cfRule>
  </conditionalFormatting>
  <conditionalFormatting sqref="P9:P25">
    <cfRule type="cellIs" dxfId="651" priority="701" stopIfTrue="1" operator="equal">
      <formula>"B1"</formula>
    </cfRule>
  </conditionalFormatting>
  <conditionalFormatting sqref="P9:P25">
    <cfRule type="cellIs" dxfId="650" priority="700" stopIfTrue="1" operator="equal">
      <formula>"B1"</formula>
    </cfRule>
  </conditionalFormatting>
  <conditionalFormatting sqref="P9:P25">
    <cfRule type="cellIs" dxfId="649" priority="699" stopIfTrue="1" operator="equal">
      <formula>"B1"</formula>
    </cfRule>
  </conditionalFormatting>
  <conditionalFormatting sqref="P9:P25">
    <cfRule type="cellIs" dxfId="648" priority="698" stopIfTrue="1" operator="equal">
      <formula>"B1"</formula>
    </cfRule>
  </conditionalFormatting>
  <conditionalFormatting sqref="P9:P25">
    <cfRule type="cellIs" dxfId="647" priority="697" stopIfTrue="1" operator="equal">
      <formula>"B1"</formula>
    </cfRule>
  </conditionalFormatting>
  <conditionalFormatting sqref="P9:P25">
    <cfRule type="cellIs" dxfId="646" priority="696" stopIfTrue="1" operator="equal">
      <formula>"B1"</formula>
    </cfRule>
  </conditionalFormatting>
  <conditionalFormatting sqref="P9:P25">
    <cfRule type="cellIs" dxfId="645" priority="695" stopIfTrue="1" operator="equal">
      <formula>"B1"</formula>
    </cfRule>
  </conditionalFormatting>
  <conditionalFormatting sqref="P9:P25">
    <cfRule type="cellIs" dxfId="644" priority="694" stopIfTrue="1" operator="equal">
      <formula>IF(AND(OR(#REF!="W",#REF!="Q",#REF!="J"),$J9&lt;150),100)</formula>
    </cfRule>
  </conditionalFormatting>
  <conditionalFormatting sqref="P9:P25">
    <cfRule type="cellIs" dxfId="643" priority="693" stopIfTrue="1" operator="equal">
      <formula>"B1"</formula>
    </cfRule>
  </conditionalFormatting>
  <conditionalFormatting sqref="P9:P25">
    <cfRule type="cellIs" dxfId="642" priority="692" stopIfTrue="1" operator="equal">
      <formula>"B1"</formula>
    </cfRule>
  </conditionalFormatting>
  <conditionalFormatting sqref="P9:P25">
    <cfRule type="cellIs" dxfId="641" priority="691" stopIfTrue="1" operator="equal">
      <formula>"B1"</formula>
    </cfRule>
  </conditionalFormatting>
  <conditionalFormatting sqref="P9:P25">
    <cfRule type="cellIs" dxfId="640" priority="690" stopIfTrue="1" operator="equal">
      <formula>"B1"</formula>
    </cfRule>
  </conditionalFormatting>
  <conditionalFormatting sqref="P9:P25">
    <cfRule type="cellIs" dxfId="639" priority="689" stopIfTrue="1" operator="equal">
      <formula>"B1"</formula>
    </cfRule>
  </conditionalFormatting>
  <conditionalFormatting sqref="P9:P25">
    <cfRule type="cellIs" dxfId="638" priority="688" stopIfTrue="1" operator="equal">
      <formula>"B1"</formula>
    </cfRule>
  </conditionalFormatting>
  <conditionalFormatting sqref="P9:P25">
    <cfRule type="cellIs" dxfId="637" priority="687" stopIfTrue="1" operator="equal">
      <formula>"B1"</formula>
    </cfRule>
  </conditionalFormatting>
  <conditionalFormatting sqref="P9:P25">
    <cfRule type="cellIs" dxfId="636" priority="686" stopIfTrue="1" operator="equal">
      <formula>"B1"</formula>
    </cfRule>
  </conditionalFormatting>
  <conditionalFormatting sqref="P9:P25">
    <cfRule type="cellIs" dxfId="635" priority="685" stopIfTrue="1" operator="equal">
      <formula>IF(AND(OR(#REF!="W",#REF!="Q",#REF!="J"),$J9&lt;150),100)</formula>
    </cfRule>
  </conditionalFormatting>
  <conditionalFormatting sqref="P9:P25">
    <cfRule type="cellIs" dxfId="634" priority="684" stopIfTrue="1" operator="equal">
      <formula>"B1"</formula>
    </cfRule>
  </conditionalFormatting>
  <conditionalFormatting sqref="P9:P25">
    <cfRule type="cellIs" dxfId="633" priority="683" stopIfTrue="1" operator="equal">
      <formula>"B1"</formula>
    </cfRule>
  </conditionalFormatting>
  <conditionalFormatting sqref="P9:P25">
    <cfRule type="cellIs" dxfId="632" priority="682" stopIfTrue="1" operator="equal">
      <formula>"B1"</formula>
    </cfRule>
  </conditionalFormatting>
  <conditionalFormatting sqref="P9:P25">
    <cfRule type="cellIs" dxfId="631" priority="681" stopIfTrue="1" operator="equal">
      <formula>"B1"</formula>
    </cfRule>
  </conditionalFormatting>
  <conditionalFormatting sqref="P9:P25">
    <cfRule type="cellIs" dxfId="630" priority="680" stopIfTrue="1" operator="equal">
      <formula>"B1"</formula>
    </cfRule>
  </conditionalFormatting>
  <conditionalFormatting sqref="P9:P25">
    <cfRule type="cellIs" dxfId="629" priority="679" stopIfTrue="1" operator="equal">
      <formula>"B1"</formula>
    </cfRule>
  </conditionalFormatting>
  <conditionalFormatting sqref="P9:P25">
    <cfRule type="cellIs" dxfId="628" priority="678" stopIfTrue="1" operator="equal">
      <formula>"B1"</formula>
    </cfRule>
  </conditionalFormatting>
  <conditionalFormatting sqref="P9:P25">
    <cfRule type="cellIs" dxfId="627" priority="677" stopIfTrue="1" operator="equal">
      <formula>"B1"</formula>
    </cfRule>
  </conditionalFormatting>
  <conditionalFormatting sqref="P9:P25">
    <cfRule type="cellIs" dxfId="626" priority="676" stopIfTrue="1" operator="equal">
      <formula>IF(AND(OR(#REF!="W",#REF!="Q",#REF!="J"),$J9&lt;150),100)</formula>
    </cfRule>
  </conditionalFormatting>
  <conditionalFormatting sqref="P9:P25">
    <cfRule type="cellIs" dxfId="625" priority="675" stopIfTrue="1" operator="equal">
      <formula>"B1"</formula>
    </cfRule>
  </conditionalFormatting>
  <conditionalFormatting sqref="P9:P25">
    <cfRule type="cellIs" dxfId="624" priority="674" stopIfTrue="1" operator="equal">
      <formula>"B1"</formula>
    </cfRule>
  </conditionalFormatting>
  <conditionalFormatting sqref="P9:P25">
    <cfRule type="cellIs" dxfId="623" priority="673" stopIfTrue="1" operator="equal">
      <formula>"B1"</formula>
    </cfRule>
  </conditionalFormatting>
  <conditionalFormatting sqref="P9:P25">
    <cfRule type="cellIs" dxfId="622" priority="672" stopIfTrue="1" operator="equal">
      <formula>"B1"</formula>
    </cfRule>
  </conditionalFormatting>
  <conditionalFormatting sqref="P9:P25">
    <cfRule type="cellIs" dxfId="621" priority="671" stopIfTrue="1" operator="equal">
      <formula>"B1"</formula>
    </cfRule>
  </conditionalFormatting>
  <conditionalFormatting sqref="P9:P25">
    <cfRule type="cellIs" dxfId="620" priority="670" stopIfTrue="1" operator="equal">
      <formula>"B1"</formula>
    </cfRule>
  </conditionalFormatting>
  <conditionalFormatting sqref="P9:P25">
    <cfRule type="cellIs" dxfId="619" priority="669" stopIfTrue="1" operator="equal">
      <formula>"B1"</formula>
    </cfRule>
  </conditionalFormatting>
  <conditionalFormatting sqref="P9:P25">
    <cfRule type="cellIs" dxfId="618" priority="668" stopIfTrue="1" operator="equal">
      <formula>"B1"</formula>
    </cfRule>
  </conditionalFormatting>
  <conditionalFormatting sqref="P9:P25">
    <cfRule type="cellIs" dxfId="617" priority="667" stopIfTrue="1" operator="equal">
      <formula>IF(AND(OR(#REF!="W",#REF!="Q",#REF!="J"),$J9&lt;150),100)</formula>
    </cfRule>
  </conditionalFormatting>
  <conditionalFormatting sqref="P9:P25">
    <cfRule type="cellIs" dxfId="616" priority="666" stopIfTrue="1" operator="equal">
      <formula>"B1"</formula>
    </cfRule>
  </conditionalFormatting>
  <conditionalFormatting sqref="P9:P25">
    <cfRule type="cellIs" dxfId="615" priority="665" stopIfTrue="1" operator="equal">
      <formula>"B1"</formula>
    </cfRule>
  </conditionalFormatting>
  <conditionalFormatting sqref="P9:P25">
    <cfRule type="cellIs" dxfId="614" priority="664" stopIfTrue="1" operator="equal">
      <formula>"B1"</formula>
    </cfRule>
  </conditionalFormatting>
  <conditionalFormatting sqref="P9:P25">
    <cfRule type="cellIs" dxfId="613" priority="663" stopIfTrue="1" operator="equal">
      <formula>"B1"</formula>
    </cfRule>
  </conditionalFormatting>
  <conditionalFormatting sqref="P9:P25">
    <cfRule type="cellIs" dxfId="612" priority="662" stopIfTrue="1" operator="equal">
      <formula>"B1"</formula>
    </cfRule>
  </conditionalFormatting>
  <conditionalFormatting sqref="P9:P25">
    <cfRule type="cellIs" dxfId="611" priority="661" stopIfTrue="1" operator="equal">
      <formula>"B1"</formula>
    </cfRule>
  </conditionalFormatting>
  <conditionalFormatting sqref="P9:P25">
    <cfRule type="cellIs" dxfId="610" priority="660" stopIfTrue="1" operator="equal">
      <formula>"B1"</formula>
    </cfRule>
  </conditionalFormatting>
  <conditionalFormatting sqref="P9:P25">
    <cfRule type="cellIs" dxfId="609" priority="659" stopIfTrue="1" operator="equal">
      <formula>"B1"</formula>
    </cfRule>
  </conditionalFormatting>
  <conditionalFormatting sqref="P9:P25">
    <cfRule type="cellIs" dxfId="608" priority="658" stopIfTrue="1" operator="equal">
      <formula>IF(AND(OR(#REF!="W",#REF!="Q",#REF!="J"),$J9&lt;150),100)</formula>
    </cfRule>
  </conditionalFormatting>
  <conditionalFormatting sqref="P9:P25">
    <cfRule type="cellIs" dxfId="607" priority="657" stopIfTrue="1" operator="equal">
      <formula>"B1"</formula>
    </cfRule>
  </conditionalFormatting>
  <conditionalFormatting sqref="P9:P25">
    <cfRule type="cellIs" dxfId="606" priority="656" stopIfTrue="1" operator="equal">
      <formula>"B1"</formula>
    </cfRule>
  </conditionalFormatting>
  <conditionalFormatting sqref="P9:P25">
    <cfRule type="cellIs" dxfId="605" priority="655" stopIfTrue="1" operator="equal">
      <formula>"B1"</formula>
    </cfRule>
  </conditionalFormatting>
  <conditionalFormatting sqref="P9:P25">
    <cfRule type="cellIs" dxfId="604" priority="654" stopIfTrue="1" operator="equal">
      <formula>"B1"</formula>
    </cfRule>
  </conditionalFormatting>
  <conditionalFormatting sqref="P9:P25">
    <cfRule type="cellIs" dxfId="603" priority="653" stopIfTrue="1" operator="equal">
      <formula>"B1"</formula>
    </cfRule>
  </conditionalFormatting>
  <conditionalFormatting sqref="P9:P25">
    <cfRule type="cellIs" dxfId="602" priority="652" stopIfTrue="1" operator="equal">
      <formula>"B1"</formula>
    </cfRule>
  </conditionalFormatting>
  <conditionalFormatting sqref="P9:P25">
    <cfRule type="cellIs" dxfId="601" priority="651" stopIfTrue="1" operator="equal">
      <formula>"B1"</formula>
    </cfRule>
  </conditionalFormatting>
  <conditionalFormatting sqref="P9:P25">
    <cfRule type="cellIs" dxfId="600" priority="650" stopIfTrue="1" operator="equal">
      <formula>"B1"</formula>
    </cfRule>
  </conditionalFormatting>
  <conditionalFormatting sqref="P9:P25">
    <cfRule type="cellIs" dxfId="599" priority="649" stopIfTrue="1" operator="equal">
      <formula>IF(AND(OR(#REF!="W",#REF!="Q",#REF!="J"),$J9&lt;150),100)</formula>
    </cfRule>
  </conditionalFormatting>
  <conditionalFormatting sqref="P9:P25">
    <cfRule type="cellIs" dxfId="598" priority="648" stopIfTrue="1" operator="equal">
      <formula>"B1"</formula>
    </cfRule>
  </conditionalFormatting>
  <conditionalFormatting sqref="P9:P25">
    <cfRule type="cellIs" dxfId="597" priority="647" stopIfTrue="1" operator="equal">
      <formula>"B1"</formula>
    </cfRule>
  </conditionalFormatting>
  <conditionalFormatting sqref="P9:P25">
    <cfRule type="cellIs" dxfId="596" priority="646" stopIfTrue="1" operator="equal">
      <formula>"B1"</formula>
    </cfRule>
  </conditionalFormatting>
  <conditionalFormatting sqref="P9:P25">
    <cfRule type="cellIs" dxfId="595" priority="645" stopIfTrue="1" operator="equal">
      <formula>"B1"</formula>
    </cfRule>
  </conditionalFormatting>
  <conditionalFormatting sqref="P9:P25">
    <cfRule type="cellIs" dxfId="594" priority="644" stopIfTrue="1" operator="equal">
      <formula>"B1"</formula>
    </cfRule>
  </conditionalFormatting>
  <conditionalFormatting sqref="P9:P25">
    <cfRule type="cellIs" dxfId="593" priority="643" stopIfTrue="1" operator="equal">
      <formula>"B1"</formula>
    </cfRule>
  </conditionalFormatting>
  <conditionalFormatting sqref="P9:P25">
    <cfRule type="cellIs" dxfId="592" priority="642" stopIfTrue="1" operator="equal">
      <formula>"B1"</formula>
    </cfRule>
  </conditionalFormatting>
  <conditionalFormatting sqref="P9:P25">
    <cfRule type="cellIs" dxfId="591" priority="641" stopIfTrue="1" operator="equal">
      <formula>"B1"</formula>
    </cfRule>
  </conditionalFormatting>
  <conditionalFormatting sqref="P9:P25">
    <cfRule type="cellIs" dxfId="590" priority="640" stopIfTrue="1" operator="equal">
      <formula>IF(AND(OR(#REF!="W",#REF!="Q",#REF!="J"),$J9&lt;150),100)</formula>
    </cfRule>
  </conditionalFormatting>
  <conditionalFormatting sqref="P9:P25">
    <cfRule type="cellIs" dxfId="589" priority="639" stopIfTrue="1" operator="equal">
      <formula>"B1"</formula>
    </cfRule>
  </conditionalFormatting>
  <conditionalFormatting sqref="P9:P25">
    <cfRule type="cellIs" dxfId="588" priority="638" stopIfTrue="1" operator="equal">
      <formula>"B1"</formula>
    </cfRule>
  </conditionalFormatting>
  <conditionalFormatting sqref="P9:P25">
    <cfRule type="cellIs" dxfId="587" priority="637" stopIfTrue="1" operator="equal">
      <formula>"B1"</formula>
    </cfRule>
  </conditionalFormatting>
  <conditionalFormatting sqref="P9:P25">
    <cfRule type="cellIs" dxfId="586" priority="636" stopIfTrue="1" operator="equal">
      <formula>"B1"</formula>
    </cfRule>
  </conditionalFormatting>
  <conditionalFormatting sqref="P9:P25">
    <cfRule type="cellIs" dxfId="585" priority="635" stopIfTrue="1" operator="equal">
      <formula>"B1"</formula>
    </cfRule>
  </conditionalFormatting>
  <conditionalFormatting sqref="P9:P25">
    <cfRule type="cellIs" dxfId="584" priority="634" stopIfTrue="1" operator="equal">
      <formula>"B1"</formula>
    </cfRule>
  </conditionalFormatting>
  <conditionalFormatting sqref="P9:P25">
    <cfRule type="cellIs" dxfId="583" priority="633" stopIfTrue="1" operator="equal">
      <formula>"B1"</formula>
    </cfRule>
  </conditionalFormatting>
  <conditionalFormatting sqref="P9:P25">
    <cfRule type="cellIs" dxfId="582" priority="632" stopIfTrue="1" operator="equal">
      <formula>"B1"</formula>
    </cfRule>
  </conditionalFormatting>
  <conditionalFormatting sqref="P9:P25">
    <cfRule type="cellIs" dxfId="581" priority="631" stopIfTrue="1" operator="equal">
      <formula>IF(AND(OR(#REF!="W",#REF!="Q",#REF!="J"),$J9&lt;150),100)</formula>
    </cfRule>
  </conditionalFormatting>
  <conditionalFormatting sqref="P9:P25">
    <cfRule type="cellIs" dxfId="580" priority="630" stopIfTrue="1" operator="equal">
      <formula>"B1"</formula>
    </cfRule>
  </conditionalFormatting>
  <conditionalFormatting sqref="P9:P25">
    <cfRule type="cellIs" dxfId="579" priority="629" stopIfTrue="1" operator="equal">
      <formula>"B1"</formula>
    </cfRule>
  </conditionalFormatting>
  <conditionalFormatting sqref="P9:P25">
    <cfRule type="cellIs" dxfId="578" priority="628" stopIfTrue="1" operator="equal">
      <formula>"B1"</formula>
    </cfRule>
  </conditionalFormatting>
  <conditionalFormatting sqref="P9:P25">
    <cfRule type="cellIs" dxfId="577" priority="627" stopIfTrue="1" operator="equal">
      <formula>"B1"</formula>
    </cfRule>
  </conditionalFormatting>
  <conditionalFormatting sqref="P9:P25">
    <cfRule type="cellIs" dxfId="576" priority="626" stopIfTrue="1" operator="equal">
      <formula>"B1"</formula>
    </cfRule>
  </conditionalFormatting>
  <conditionalFormatting sqref="P9:P25">
    <cfRule type="cellIs" dxfId="575" priority="625" stopIfTrue="1" operator="equal">
      <formula>"B1"</formula>
    </cfRule>
  </conditionalFormatting>
  <conditionalFormatting sqref="P9:P25">
    <cfRule type="cellIs" dxfId="574" priority="624" stopIfTrue="1" operator="equal">
      <formula>"B1"</formula>
    </cfRule>
  </conditionalFormatting>
  <conditionalFormatting sqref="P9:P25">
    <cfRule type="cellIs" dxfId="573" priority="623" stopIfTrue="1" operator="equal">
      <formula>"B1"</formula>
    </cfRule>
  </conditionalFormatting>
  <conditionalFormatting sqref="P9:P25">
    <cfRule type="cellIs" dxfId="572" priority="622" stopIfTrue="1" operator="equal">
      <formula>IF(AND(OR(#REF!="W",#REF!="Q",#REF!="J"),$J9&lt;150),100)</formula>
    </cfRule>
  </conditionalFormatting>
  <conditionalFormatting sqref="P9:P25">
    <cfRule type="cellIs" dxfId="571" priority="621" stopIfTrue="1" operator="equal">
      <formula>"B1"</formula>
    </cfRule>
  </conditionalFormatting>
  <conditionalFormatting sqref="P9:P25">
    <cfRule type="cellIs" dxfId="570" priority="620" stopIfTrue="1" operator="equal">
      <formula>"B1"</formula>
    </cfRule>
  </conditionalFormatting>
  <conditionalFormatting sqref="P9:P25">
    <cfRule type="cellIs" dxfId="569" priority="619" stopIfTrue="1" operator="equal">
      <formula>"B1"</formula>
    </cfRule>
  </conditionalFormatting>
  <conditionalFormatting sqref="P9:P25">
    <cfRule type="cellIs" dxfId="568" priority="618" stopIfTrue="1" operator="equal">
      <formula>"B1"</formula>
    </cfRule>
  </conditionalFormatting>
  <conditionalFormatting sqref="P9:P25">
    <cfRule type="cellIs" dxfId="567" priority="617" stopIfTrue="1" operator="equal">
      <formula>"B1"</formula>
    </cfRule>
  </conditionalFormatting>
  <conditionalFormatting sqref="P9:P25">
    <cfRule type="cellIs" dxfId="566" priority="616" stopIfTrue="1" operator="equal">
      <formula>"B1"</formula>
    </cfRule>
  </conditionalFormatting>
  <conditionalFormatting sqref="P9:P25">
    <cfRule type="cellIs" dxfId="565" priority="615" stopIfTrue="1" operator="equal">
      <formula>"B1"</formula>
    </cfRule>
  </conditionalFormatting>
  <conditionalFormatting sqref="P9:P25">
    <cfRule type="cellIs" dxfId="564" priority="614" stopIfTrue="1" operator="equal">
      <formula>"B1"</formula>
    </cfRule>
  </conditionalFormatting>
  <conditionalFormatting sqref="P9:P25">
    <cfRule type="cellIs" dxfId="563" priority="613" stopIfTrue="1" operator="equal">
      <formula>IF(AND(OR(#REF!="W",#REF!="Q",#REF!="J"),$J9&lt;150),100)</formula>
    </cfRule>
  </conditionalFormatting>
  <conditionalFormatting sqref="P9:P25">
    <cfRule type="cellIs" dxfId="562" priority="612" stopIfTrue="1" operator="equal">
      <formula>"B1"</formula>
    </cfRule>
  </conditionalFormatting>
  <conditionalFormatting sqref="P9:P25">
    <cfRule type="cellIs" dxfId="561" priority="611" stopIfTrue="1" operator="equal">
      <formula>"B1"</formula>
    </cfRule>
  </conditionalFormatting>
  <conditionalFormatting sqref="P9:P25">
    <cfRule type="cellIs" dxfId="560" priority="610" stopIfTrue="1" operator="equal">
      <formula>"B1"</formula>
    </cfRule>
  </conditionalFormatting>
  <conditionalFormatting sqref="P9:P25">
    <cfRule type="cellIs" dxfId="559" priority="609" stopIfTrue="1" operator="equal">
      <formula>"B1"</formula>
    </cfRule>
  </conditionalFormatting>
  <conditionalFormatting sqref="P9:P25">
    <cfRule type="cellIs" dxfId="558" priority="608" stopIfTrue="1" operator="equal">
      <formula>"B1"</formula>
    </cfRule>
  </conditionalFormatting>
  <conditionalFormatting sqref="P9:P25">
    <cfRule type="cellIs" dxfId="557" priority="607" stopIfTrue="1" operator="equal">
      <formula>"B1"</formula>
    </cfRule>
  </conditionalFormatting>
  <conditionalFormatting sqref="P9:P25">
    <cfRule type="cellIs" dxfId="556" priority="606" stopIfTrue="1" operator="equal">
      <formula>"B1"</formula>
    </cfRule>
  </conditionalFormatting>
  <conditionalFormatting sqref="P9:P25">
    <cfRule type="cellIs" dxfId="555" priority="605" stopIfTrue="1" operator="equal">
      <formula>"B1"</formula>
    </cfRule>
  </conditionalFormatting>
  <conditionalFormatting sqref="P9:P25">
    <cfRule type="cellIs" dxfId="554" priority="604" stopIfTrue="1" operator="equal">
      <formula>IF(AND(OR(#REF!="W",#REF!="Q",#REF!="J"),$J9&lt;150),100)</formula>
    </cfRule>
  </conditionalFormatting>
  <conditionalFormatting sqref="P9:P25">
    <cfRule type="cellIs" dxfId="553" priority="603" stopIfTrue="1" operator="equal">
      <formula>"B1"</formula>
    </cfRule>
  </conditionalFormatting>
  <conditionalFormatting sqref="P9:P25">
    <cfRule type="cellIs" dxfId="552" priority="602" stopIfTrue="1" operator="equal">
      <formula>"B1"</formula>
    </cfRule>
  </conditionalFormatting>
  <conditionalFormatting sqref="P9:P25">
    <cfRule type="cellIs" dxfId="551" priority="601" stopIfTrue="1" operator="equal">
      <formula>"B1"</formula>
    </cfRule>
  </conditionalFormatting>
  <conditionalFormatting sqref="P9:P25">
    <cfRule type="cellIs" dxfId="550" priority="600" stopIfTrue="1" operator="equal">
      <formula>"B1"</formula>
    </cfRule>
  </conditionalFormatting>
  <conditionalFormatting sqref="P9:P25">
    <cfRule type="cellIs" dxfId="549" priority="599" stopIfTrue="1" operator="equal">
      <formula>"B1"</formula>
    </cfRule>
  </conditionalFormatting>
  <conditionalFormatting sqref="P9:P25">
    <cfRule type="cellIs" dxfId="548" priority="598" stopIfTrue="1" operator="equal">
      <formula>"B1"</formula>
    </cfRule>
  </conditionalFormatting>
  <conditionalFormatting sqref="P9:P25">
    <cfRule type="cellIs" dxfId="547" priority="597" stopIfTrue="1" operator="equal">
      <formula>"B1"</formula>
    </cfRule>
  </conditionalFormatting>
  <conditionalFormatting sqref="P9:P25">
    <cfRule type="cellIs" dxfId="546" priority="596" stopIfTrue="1" operator="equal">
      <formula>"B1"</formula>
    </cfRule>
  </conditionalFormatting>
  <conditionalFormatting sqref="P9:P25">
    <cfRule type="cellIs" dxfId="545" priority="595" stopIfTrue="1" operator="equal">
      <formula>IF(AND(OR(#REF!="W",#REF!="Q",#REF!="J"),$J9&lt;150),100)</formula>
    </cfRule>
  </conditionalFormatting>
  <conditionalFormatting sqref="P9:P25">
    <cfRule type="cellIs" dxfId="544" priority="594" stopIfTrue="1" operator="equal">
      <formula>"B1"</formula>
    </cfRule>
  </conditionalFormatting>
  <conditionalFormatting sqref="P9:P25">
    <cfRule type="cellIs" dxfId="543" priority="593" stopIfTrue="1" operator="equal">
      <formula>"B1"</formula>
    </cfRule>
  </conditionalFormatting>
  <conditionalFormatting sqref="P9:P25">
    <cfRule type="cellIs" dxfId="542" priority="592" stopIfTrue="1" operator="equal">
      <formula>"B1"</formula>
    </cfRule>
  </conditionalFormatting>
  <conditionalFormatting sqref="P9:P25">
    <cfRule type="cellIs" dxfId="541" priority="591" stopIfTrue="1" operator="equal">
      <formula>"B1"</formula>
    </cfRule>
  </conditionalFormatting>
  <conditionalFormatting sqref="P9:P25">
    <cfRule type="cellIs" dxfId="540" priority="590" stopIfTrue="1" operator="equal">
      <formula>"B1"</formula>
    </cfRule>
  </conditionalFormatting>
  <conditionalFormatting sqref="P9:P25">
    <cfRule type="cellIs" dxfId="539" priority="589" stopIfTrue="1" operator="equal">
      <formula>"B1"</formula>
    </cfRule>
  </conditionalFormatting>
  <conditionalFormatting sqref="P9:P25">
    <cfRule type="cellIs" dxfId="538" priority="588" stopIfTrue="1" operator="equal">
      <formula>"B1"</formula>
    </cfRule>
  </conditionalFormatting>
  <conditionalFormatting sqref="P9:P25">
    <cfRule type="cellIs" dxfId="537" priority="587" stopIfTrue="1" operator="equal">
      <formula>"B1"</formula>
    </cfRule>
  </conditionalFormatting>
  <conditionalFormatting sqref="P9:P25">
    <cfRule type="cellIs" dxfId="536" priority="586" stopIfTrue="1" operator="equal">
      <formula>IF(AND(OR(#REF!="W",#REF!="Q",#REF!="J"),$J9&lt;150),100)</formula>
    </cfRule>
  </conditionalFormatting>
  <conditionalFormatting sqref="P9:P25">
    <cfRule type="cellIs" dxfId="535" priority="585" stopIfTrue="1" operator="equal">
      <formula>"B1"</formula>
    </cfRule>
  </conditionalFormatting>
  <conditionalFormatting sqref="P9:P25">
    <cfRule type="cellIs" dxfId="534" priority="584" stopIfTrue="1" operator="equal">
      <formula>"B1"</formula>
    </cfRule>
  </conditionalFormatting>
  <conditionalFormatting sqref="P9:P25">
    <cfRule type="cellIs" dxfId="533" priority="583" stopIfTrue="1" operator="equal">
      <formula>"B1"</formula>
    </cfRule>
  </conditionalFormatting>
  <conditionalFormatting sqref="P9:P25">
    <cfRule type="cellIs" dxfId="532" priority="582" stopIfTrue="1" operator="equal">
      <formula>"B1"</formula>
    </cfRule>
  </conditionalFormatting>
  <conditionalFormatting sqref="P9:P25">
    <cfRule type="cellIs" dxfId="531" priority="581" stopIfTrue="1" operator="equal">
      <formula>"B1"</formula>
    </cfRule>
  </conditionalFormatting>
  <conditionalFormatting sqref="P9:P25">
    <cfRule type="cellIs" dxfId="530" priority="580" stopIfTrue="1" operator="equal">
      <formula>"B1"</formula>
    </cfRule>
  </conditionalFormatting>
  <conditionalFormatting sqref="P9:P25">
    <cfRule type="cellIs" dxfId="529" priority="579" stopIfTrue="1" operator="equal">
      <formula>"B1"</formula>
    </cfRule>
  </conditionalFormatting>
  <conditionalFormatting sqref="P9:P25">
    <cfRule type="cellIs" dxfId="528" priority="578" stopIfTrue="1" operator="equal">
      <formula>"B1"</formula>
    </cfRule>
  </conditionalFormatting>
  <conditionalFormatting sqref="P9:P25">
    <cfRule type="cellIs" dxfId="527" priority="577" stopIfTrue="1" operator="equal">
      <formula>IF(AND(OR(#REF!="W",#REF!="Q",#REF!="J"),$J9&lt;150),100)</formula>
    </cfRule>
  </conditionalFormatting>
  <conditionalFormatting sqref="P9:P25">
    <cfRule type="cellIs" dxfId="526" priority="576" stopIfTrue="1" operator="equal">
      <formula>"B1"</formula>
    </cfRule>
  </conditionalFormatting>
  <conditionalFormatting sqref="P9:P25">
    <cfRule type="cellIs" dxfId="525" priority="575" stopIfTrue="1" operator="equal">
      <formula>"B1"</formula>
    </cfRule>
  </conditionalFormatting>
  <conditionalFormatting sqref="P9:P25">
    <cfRule type="cellIs" dxfId="524" priority="574" stopIfTrue="1" operator="equal">
      <formula>"B1"</formula>
    </cfRule>
  </conditionalFormatting>
  <conditionalFormatting sqref="P9:P25">
    <cfRule type="cellIs" dxfId="523" priority="573" stopIfTrue="1" operator="equal">
      <formula>"B1"</formula>
    </cfRule>
  </conditionalFormatting>
  <conditionalFormatting sqref="P9:P25">
    <cfRule type="cellIs" dxfId="522" priority="572" stopIfTrue="1" operator="equal">
      <formula>"B1"</formula>
    </cfRule>
  </conditionalFormatting>
  <conditionalFormatting sqref="P9:P25">
    <cfRule type="cellIs" dxfId="521" priority="571" stopIfTrue="1" operator="equal">
      <formula>"B1"</formula>
    </cfRule>
  </conditionalFormatting>
  <conditionalFormatting sqref="P9:P25">
    <cfRule type="cellIs" dxfId="520" priority="570" stopIfTrue="1" operator="equal">
      <formula>"B1"</formula>
    </cfRule>
  </conditionalFormatting>
  <conditionalFormatting sqref="P9:P25">
    <cfRule type="cellIs" dxfId="519" priority="569" stopIfTrue="1" operator="equal">
      <formula>"B1"</formula>
    </cfRule>
  </conditionalFormatting>
  <conditionalFormatting sqref="P9:P25">
    <cfRule type="cellIs" dxfId="518" priority="568" stopIfTrue="1" operator="equal">
      <formula>IF(AND(OR(#REF!="W",#REF!="Q",#REF!="J"),$J9&lt;150),100)</formula>
    </cfRule>
  </conditionalFormatting>
  <conditionalFormatting sqref="P9:P25">
    <cfRule type="cellIs" dxfId="517" priority="567" stopIfTrue="1" operator="equal">
      <formula>"B1"</formula>
    </cfRule>
  </conditionalFormatting>
  <conditionalFormatting sqref="P9:P25">
    <cfRule type="cellIs" dxfId="516" priority="566" stopIfTrue="1" operator="equal">
      <formula>"B1"</formula>
    </cfRule>
  </conditionalFormatting>
  <conditionalFormatting sqref="P9:P25">
    <cfRule type="cellIs" dxfId="515" priority="565" stopIfTrue="1" operator="equal">
      <formula>"B1"</formula>
    </cfRule>
  </conditionalFormatting>
  <conditionalFormatting sqref="P9:P25">
    <cfRule type="cellIs" dxfId="514" priority="564" stopIfTrue="1" operator="equal">
      <formula>"B1"</formula>
    </cfRule>
  </conditionalFormatting>
  <conditionalFormatting sqref="P9:P25">
    <cfRule type="cellIs" dxfId="513" priority="563" stopIfTrue="1" operator="equal">
      <formula>"B1"</formula>
    </cfRule>
  </conditionalFormatting>
  <conditionalFormatting sqref="P9:P25">
    <cfRule type="cellIs" dxfId="512" priority="562" stopIfTrue="1" operator="equal">
      <formula>"B1"</formula>
    </cfRule>
  </conditionalFormatting>
  <conditionalFormatting sqref="P9:P25">
    <cfRule type="cellIs" dxfId="511" priority="561" stopIfTrue="1" operator="equal">
      <formula>"B1"</formula>
    </cfRule>
  </conditionalFormatting>
  <conditionalFormatting sqref="P9:P25">
    <cfRule type="cellIs" dxfId="510" priority="560" stopIfTrue="1" operator="equal">
      <formula>"B1"</formula>
    </cfRule>
  </conditionalFormatting>
  <conditionalFormatting sqref="Q9:Q25">
    <cfRule type="cellIs" dxfId="509" priority="559" stopIfTrue="1" operator="equal">
      <formula>IF(AND(OR(#REF!="W",#REF!="Q",#REF!="J"),$J9&lt;150),100)</formula>
    </cfRule>
  </conditionalFormatting>
  <conditionalFormatting sqref="Q9:Q25">
    <cfRule type="cellIs" dxfId="508" priority="558" stopIfTrue="1" operator="equal">
      <formula>"B1"</formula>
    </cfRule>
  </conditionalFormatting>
  <conditionalFormatting sqref="Q9:Q25">
    <cfRule type="cellIs" dxfId="507" priority="557" stopIfTrue="1" operator="equal">
      <formula>"B1"</formula>
    </cfRule>
  </conditionalFormatting>
  <conditionalFormatting sqref="Q9:Q25">
    <cfRule type="cellIs" dxfId="506" priority="556" stopIfTrue="1" operator="equal">
      <formula>"B1"</formula>
    </cfRule>
  </conditionalFormatting>
  <conditionalFormatting sqref="Q9:Q25">
    <cfRule type="cellIs" dxfId="505" priority="555" stopIfTrue="1" operator="equal">
      <formula>"B1"</formula>
    </cfRule>
  </conditionalFormatting>
  <conditionalFormatting sqref="Q9:Q25">
    <cfRule type="cellIs" dxfId="504" priority="554" stopIfTrue="1" operator="equal">
      <formula>"B1"</formula>
    </cfRule>
  </conditionalFormatting>
  <conditionalFormatting sqref="Q9:Q25">
    <cfRule type="cellIs" dxfId="503" priority="553" stopIfTrue="1" operator="equal">
      <formula>"B1"</formula>
    </cfRule>
  </conditionalFormatting>
  <conditionalFormatting sqref="Q9:Q25">
    <cfRule type="cellIs" dxfId="502" priority="552" stopIfTrue="1" operator="equal">
      <formula>"B1"</formula>
    </cfRule>
  </conditionalFormatting>
  <conditionalFormatting sqref="Q9:Q25">
    <cfRule type="cellIs" dxfId="501" priority="551" stopIfTrue="1" operator="equal">
      <formula>"B1"</formula>
    </cfRule>
  </conditionalFormatting>
  <conditionalFormatting sqref="Q9:Q25">
    <cfRule type="cellIs" dxfId="500" priority="550" stopIfTrue="1" operator="equal">
      <formula>IF(AND(OR(#REF!="W",#REF!="Q",#REF!="J"),$J9&lt;150),100)</formula>
    </cfRule>
  </conditionalFormatting>
  <conditionalFormatting sqref="Q9:Q25">
    <cfRule type="cellIs" dxfId="499" priority="549" stopIfTrue="1" operator="equal">
      <formula>"B1"</formula>
    </cfRule>
  </conditionalFormatting>
  <conditionalFormatting sqref="Q9:Q25">
    <cfRule type="cellIs" dxfId="498" priority="548" stopIfTrue="1" operator="equal">
      <formula>"B1"</formula>
    </cfRule>
  </conditionalFormatting>
  <conditionalFormatting sqref="Q9:Q25">
    <cfRule type="cellIs" dxfId="497" priority="547" stopIfTrue="1" operator="equal">
      <formula>"B1"</formula>
    </cfRule>
  </conditionalFormatting>
  <conditionalFormatting sqref="Q9:Q25">
    <cfRule type="cellIs" dxfId="496" priority="546" stopIfTrue="1" operator="equal">
      <formula>"B1"</formula>
    </cfRule>
  </conditionalFormatting>
  <conditionalFormatting sqref="Q9:Q25">
    <cfRule type="cellIs" dxfId="495" priority="545" stopIfTrue="1" operator="equal">
      <formula>"B1"</formula>
    </cfRule>
  </conditionalFormatting>
  <conditionalFormatting sqref="Q9:Q25">
    <cfRule type="cellIs" dxfId="494" priority="544" stopIfTrue="1" operator="equal">
      <formula>"B1"</formula>
    </cfRule>
  </conditionalFormatting>
  <conditionalFormatting sqref="Q9:Q25">
    <cfRule type="cellIs" dxfId="493" priority="543" stopIfTrue="1" operator="equal">
      <formula>"B1"</formula>
    </cfRule>
  </conditionalFormatting>
  <conditionalFormatting sqref="Q9:Q25">
    <cfRule type="cellIs" dxfId="492" priority="542" stopIfTrue="1" operator="equal">
      <formula>"B1"</formula>
    </cfRule>
  </conditionalFormatting>
  <conditionalFormatting sqref="Q9:Q25">
    <cfRule type="cellIs" dxfId="491" priority="541" stopIfTrue="1" operator="equal">
      <formula>IF(AND(OR(#REF!="W",#REF!="Q",#REF!="J"),$J9&lt;150),100)</formula>
    </cfRule>
  </conditionalFormatting>
  <conditionalFormatting sqref="Q9:Q25">
    <cfRule type="cellIs" dxfId="490" priority="540" stopIfTrue="1" operator="equal">
      <formula>"B1"</formula>
    </cfRule>
  </conditionalFormatting>
  <conditionalFormatting sqref="Q9:Q25">
    <cfRule type="cellIs" dxfId="489" priority="539" stopIfTrue="1" operator="equal">
      <formula>"B1"</formula>
    </cfRule>
  </conditionalFormatting>
  <conditionalFormatting sqref="Q9:Q25">
    <cfRule type="cellIs" dxfId="488" priority="538" stopIfTrue="1" operator="equal">
      <formula>"B1"</formula>
    </cfRule>
  </conditionalFormatting>
  <conditionalFormatting sqref="Q9:Q25">
    <cfRule type="cellIs" dxfId="487" priority="537" stopIfTrue="1" operator="equal">
      <formula>"B1"</formula>
    </cfRule>
  </conditionalFormatting>
  <conditionalFormatting sqref="Q9:Q25">
    <cfRule type="cellIs" dxfId="486" priority="536" stopIfTrue="1" operator="equal">
      <formula>"B1"</formula>
    </cfRule>
  </conditionalFormatting>
  <conditionalFormatting sqref="Q9:Q25">
    <cfRule type="cellIs" dxfId="485" priority="535" stopIfTrue="1" operator="equal">
      <formula>"B1"</formula>
    </cfRule>
  </conditionalFormatting>
  <conditionalFormatting sqref="Q9:Q25">
    <cfRule type="cellIs" dxfId="484" priority="534" stopIfTrue="1" operator="equal">
      <formula>"B1"</formula>
    </cfRule>
  </conditionalFormatting>
  <conditionalFormatting sqref="Q9:Q25">
    <cfRule type="cellIs" dxfId="483" priority="533" stopIfTrue="1" operator="equal">
      <formula>"B1"</formula>
    </cfRule>
  </conditionalFormatting>
  <conditionalFormatting sqref="Q9:Q25">
    <cfRule type="cellIs" dxfId="482" priority="532" stopIfTrue="1" operator="equal">
      <formula>IF(AND(OR(#REF!="W",#REF!="Q",#REF!="J"),$J9&lt;150),100)</formula>
    </cfRule>
  </conditionalFormatting>
  <conditionalFormatting sqref="Q9:Q25">
    <cfRule type="cellIs" dxfId="481" priority="531" stopIfTrue="1" operator="equal">
      <formula>"B1"</formula>
    </cfRule>
  </conditionalFormatting>
  <conditionalFormatting sqref="Q9:Q25">
    <cfRule type="cellIs" dxfId="480" priority="530" stopIfTrue="1" operator="equal">
      <formula>"B1"</formula>
    </cfRule>
  </conditionalFormatting>
  <conditionalFormatting sqref="Q9:Q25">
    <cfRule type="cellIs" dxfId="479" priority="529" stopIfTrue="1" operator="equal">
      <formula>"B1"</formula>
    </cfRule>
  </conditionalFormatting>
  <conditionalFormatting sqref="Q9:Q25">
    <cfRule type="cellIs" dxfId="478" priority="528" stopIfTrue="1" operator="equal">
      <formula>"B1"</formula>
    </cfRule>
  </conditionalFormatting>
  <conditionalFormatting sqref="Q9:Q25">
    <cfRule type="cellIs" dxfId="477" priority="527" stopIfTrue="1" operator="equal">
      <formula>"B1"</formula>
    </cfRule>
  </conditionalFormatting>
  <conditionalFormatting sqref="Q9:Q25">
    <cfRule type="cellIs" dxfId="476" priority="526" stopIfTrue="1" operator="equal">
      <formula>"B1"</formula>
    </cfRule>
  </conditionalFormatting>
  <conditionalFormatting sqref="Q9:Q25">
    <cfRule type="cellIs" dxfId="475" priority="525" stopIfTrue="1" operator="equal">
      <formula>"B1"</formula>
    </cfRule>
  </conditionalFormatting>
  <conditionalFormatting sqref="Q9:Q25">
    <cfRule type="cellIs" dxfId="474" priority="524" stopIfTrue="1" operator="equal">
      <formula>"B1"</formula>
    </cfRule>
  </conditionalFormatting>
  <conditionalFormatting sqref="Q9:Q25">
    <cfRule type="cellIs" dxfId="473" priority="523" stopIfTrue="1" operator="equal">
      <formula>IF(AND(OR(#REF!="W",#REF!="Q",#REF!="J"),$J9&lt;150),100)</formula>
    </cfRule>
  </conditionalFormatting>
  <conditionalFormatting sqref="Q9:Q25">
    <cfRule type="cellIs" dxfId="472" priority="522" stopIfTrue="1" operator="equal">
      <formula>"B1"</formula>
    </cfRule>
  </conditionalFormatting>
  <conditionalFormatting sqref="Q9:Q25">
    <cfRule type="cellIs" dxfId="471" priority="521" stopIfTrue="1" operator="equal">
      <formula>"B1"</formula>
    </cfRule>
  </conditionalFormatting>
  <conditionalFormatting sqref="Q9:Q25">
    <cfRule type="cellIs" dxfId="470" priority="520" stopIfTrue="1" operator="equal">
      <formula>"B1"</formula>
    </cfRule>
  </conditionalFormatting>
  <conditionalFormatting sqref="Q9:Q25">
    <cfRule type="cellIs" dxfId="469" priority="519" stopIfTrue="1" operator="equal">
      <formula>"B1"</formula>
    </cfRule>
  </conditionalFormatting>
  <conditionalFormatting sqref="Q9:Q25">
    <cfRule type="cellIs" dxfId="468" priority="518" stopIfTrue="1" operator="equal">
      <formula>"B1"</formula>
    </cfRule>
  </conditionalFormatting>
  <conditionalFormatting sqref="Q9:Q25">
    <cfRule type="cellIs" dxfId="467" priority="517" stopIfTrue="1" operator="equal">
      <formula>"B1"</formula>
    </cfRule>
  </conditionalFormatting>
  <conditionalFormatting sqref="Q9:Q25">
    <cfRule type="cellIs" dxfId="466" priority="516" stopIfTrue="1" operator="equal">
      <formula>"B1"</formula>
    </cfRule>
  </conditionalFormatting>
  <conditionalFormatting sqref="Q9:Q25">
    <cfRule type="cellIs" dxfId="465" priority="515" stopIfTrue="1" operator="equal">
      <formula>"B1"</formula>
    </cfRule>
  </conditionalFormatting>
  <conditionalFormatting sqref="Q9:Q25">
    <cfRule type="cellIs" dxfId="464" priority="514" stopIfTrue="1" operator="equal">
      <formula>IF(AND(OR(#REF!="W",#REF!="Q",#REF!="J"),$J9&lt;150),100)</formula>
    </cfRule>
  </conditionalFormatting>
  <conditionalFormatting sqref="Q9:Q25">
    <cfRule type="cellIs" dxfId="463" priority="513" stopIfTrue="1" operator="equal">
      <formula>"B1"</formula>
    </cfRule>
  </conditionalFormatting>
  <conditionalFormatting sqref="Q9:Q25">
    <cfRule type="cellIs" dxfId="462" priority="512" stopIfTrue="1" operator="equal">
      <formula>"B1"</formula>
    </cfRule>
  </conditionalFormatting>
  <conditionalFormatting sqref="Q9:Q25">
    <cfRule type="cellIs" dxfId="461" priority="511" stopIfTrue="1" operator="equal">
      <formula>"B1"</formula>
    </cfRule>
  </conditionalFormatting>
  <conditionalFormatting sqref="Q9:Q25">
    <cfRule type="cellIs" dxfId="460" priority="510" stopIfTrue="1" operator="equal">
      <formula>"B1"</formula>
    </cfRule>
  </conditionalFormatting>
  <conditionalFormatting sqref="Q9:Q25">
    <cfRule type="cellIs" dxfId="459" priority="509" stopIfTrue="1" operator="equal">
      <formula>"B1"</formula>
    </cfRule>
  </conditionalFormatting>
  <conditionalFormatting sqref="Q9:Q25">
    <cfRule type="cellIs" dxfId="458" priority="508" stopIfTrue="1" operator="equal">
      <formula>"B1"</formula>
    </cfRule>
  </conditionalFormatting>
  <conditionalFormatting sqref="Q9:Q25">
    <cfRule type="cellIs" dxfId="457" priority="507" stopIfTrue="1" operator="equal">
      <formula>"B1"</formula>
    </cfRule>
  </conditionalFormatting>
  <conditionalFormatting sqref="Q9:Q25">
    <cfRule type="cellIs" dxfId="456" priority="506" stopIfTrue="1" operator="equal">
      <formula>"B1"</formula>
    </cfRule>
  </conditionalFormatting>
  <conditionalFormatting sqref="Q9:Q25">
    <cfRule type="cellIs" dxfId="455" priority="505" stopIfTrue="1" operator="equal">
      <formula>IF(AND(OR(#REF!="W",#REF!="Q",#REF!="J"),$J9&lt;150),100)</formula>
    </cfRule>
  </conditionalFormatting>
  <conditionalFormatting sqref="Q9:Q25">
    <cfRule type="cellIs" dxfId="454" priority="504" stopIfTrue="1" operator="equal">
      <formula>"B1"</formula>
    </cfRule>
  </conditionalFormatting>
  <conditionalFormatting sqref="Q9:Q25">
    <cfRule type="cellIs" dxfId="453" priority="503" stopIfTrue="1" operator="equal">
      <formula>"B1"</formula>
    </cfRule>
  </conditionalFormatting>
  <conditionalFormatting sqref="Q9:Q25">
    <cfRule type="cellIs" dxfId="452" priority="502" stopIfTrue="1" operator="equal">
      <formula>"B1"</formula>
    </cfRule>
  </conditionalFormatting>
  <conditionalFormatting sqref="Q9:Q25">
    <cfRule type="cellIs" dxfId="451" priority="501" stopIfTrue="1" operator="equal">
      <formula>"B1"</formula>
    </cfRule>
  </conditionalFormatting>
  <conditionalFormatting sqref="Q9:Q25">
    <cfRule type="cellIs" dxfId="450" priority="500" stopIfTrue="1" operator="equal">
      <formula>"B1"</formula>
    </cfRule>
  </conditionalFormatting>
  <conditionalFormatting sqref="Q9:Q25">
    <cfRule type="cellIs" dxfId="449" priority="499" stopIfTrue="1" operator="equal">
      <formula>"B1"</formula>
    </cfRule>
  </conditionalFormatting>
  <conditionalFormatting sqref="Q9:Q25">
    <cfRule type="cellIs" dxfId="448" priority="498" stopIfTrue="1" operator="equal">
      <formula>"B1"</formula>
    </cfRule>
  </conditionalFormatting>
  <conditionalFormatting sqref="Q9:Q25">
    <cfRule type="cellIs" dxfId="447" priority="497" stopIfTrue="1" operator="equal">
      <formula>"B1"</formula>
    </cfRule>
  </conditionalFormatting>
  <conditionalFormatting sqref="Q9:Q25">
    <cfRule type="cellIs" dxfId="446" priority="496" stopIfTrue="1" operator="equal">
      <formula>IF(AND(OR(#REF!="W",#REF!="Q",#REF!="J"),$J9&lt;150),100)</formula>
    </cfRule>
  </conditionalFormatting>
  <conditionalFormatting sqref="Q9:Q25">
    <cfRule type="cellIs" dxfId="445" priority="495" stopIfTrue="1" operator="equal">
      <formula>"B1"</formula>
    </cfRule>
  </conditionalFormatting>
  <conditionalFormatting sqref="Q9:Q25">
    <cfRule type="cellIs" dxfId="444" priority="494" stopIfTrue="1" operator="equal">
      <formula>"B1"</formula>
    </cfRule>
  </conditionalFormatting>
  <conditionalFormatting sqref="Q9:Q25">
    <cfRule type="cellIs" dxfId="443" priority="493" stopIfTrue="1" operator="equal">
      <formula>"B1"</formula>
    </cfRule>
  </conditionalFormatting>
  <conditionalFormatting sqref="Q9:Q25">
    <cfRule type="cellIs" dxfId="442" priority="492" stopIfTrue="1" operator="equal">
      <formula>"B1"</formula>
    </cfRule>
  </conditionalFormatting>
  <conditionalFormatting sqref="Q9:Q25">
    <cfRule type="cellIs" dxfId="441" priority="491" stopIfTrue="1" operator="equal">
      <formula>"B1"</formula>
    </cfRule>
  </conditionalFormatting>
  <conditionalFormatting sqref="Q9:Q25">
    <cfRule type="cellIs" dxfId="440" priority="490" stopIfTrue="1" operator="equal">
      <formula>"B1"</formula>
    </cfRule>
  </conditionalFormatting>
  <conditionalFormatting sqref="Q9:Q25">
    <cfRule type="cellIs" dxfId="439" priority="489" stopIfTrue="1" operator="equal">
      <formula>"B1"</formula>
    </cfRule>
  </conditionalFormatting>
  <conditionalFormatting sqref="Q9:Q25">
    <cfRule type="cellIs" dxfId="438" priority="488" stopIfTrue="1" operator="equal">
      <formula>"B1"</formula>
    </cfRule>
  </conditionalFormatting>
  <conditionalFormatting sqref="Q9:Q25">
    <cfRule type="cellIs" dxfId="437" priority="487" stopIfTrue="1" operator="equal">
      <formula>IF(AND(OR(#REF!="W",#REF!="Q",#REF!="J"),$J9&lt;150),100)</formula>
    </cfRule>
  </conditionalFormatting>
  <conditionalFormatting sqref="Q9:Q25">
    <cfRule type="cellIs" dxfId="436" priority="486" stopIfTrue="1" operator="equal">
      <formula>"B1"</formula>
    </cfRule>
  </conditionalFormatting>
  <conditionalFormatting sqref="Q9:Q25">
    <cfRule type="cellIs" dxfId="435" priority="485" stopIfTrue="1" operator="equal">
      <formula>"B1"</formula>
    </cfRule>
  </conditionalFormatting>
  <conditionalFormatting sqref="Q9:Q25">
    <cfRule type="cellIs" dxfId="434" priority="484" stopIfTrue="1" operator="equal">
      <formula>"B1"</formula>
    </cfRule>
  </conditionalFormatting>
  <conditionalFormatting sqref="Q9:Q25">
    <cfRule type="cellIs" dxfId="433" priority="483" stopIfTrue="1" operator="equal">
      <formula>"B1"</formula>
    </cfRule>
  </conditionalFormatting>
  <conditionalFormatting sqref="Q9:Q25">
    <cfRule type="cellIs" dxfId="432" priority="482" stopIfTrue="1" operator="equal">
      <formula>"B1"</formula>
    </cfRule>
  </conditionalFormatting>
  <conditionalFormatting sqref="Q9:Q25">
    <cfRule type="cellIs" dxfId="431" priority="481" stopIfTrue="1" operator="equal">
      <formula>"B1"</formula>
    </cfRule>
  </conditionalFormatting>
  <conditionalFormatting sqref="Q9:Q25">
    <cfRule type="cellIs" dxfId="430" priority="480" stopIfTrue="1" operator="equal">
      <formula>"B1"</formula>
    </cfRule>
  </conditionalFormatting>
  <conditionalFormatting sqref="Q9:Q25">
    <cfRule type="cellIs" dxfId="429" priority="479" stopIfTrue="1" operator="equal">
      <formula>"B1"</formula>
    </cfRule>
  </conditionalFormatting>
  <conditionalFormatting sqref="Q9:Q25">
    <cfRule type="cellIs" dxfId="428" priority="478" stopIfTrue="1" operator="equal">
      <formula>IF(AND(OR(#REF!="W",#REF!="Q",#REF!="J"),$J9&lt;150),100)</formula>
    </cfRule>
  </conditionalFormatting>
  <conditionalFormatting sqref="Q9:Q25">
    <cfRule type="cellIs" dxfId="427" priority="477" stopIfTrue="1" operator="equal">
      <formula>"B1"</formula>
    </cfRule>
  </conditionalFormatting>
  <conditionalFormatting sqref="Q9:Q25">
    <cfRule type="cellIs" dxfId="426" priority="476" stopIfTrue="1" operator="equal">
      <formula>"B1"</formula>
    </cfRule>
  </conditionalFormatting>
  <conditionalFormatting sqref="Q9:Q25">
    <cfRule type="cellIs" dxfId="425" priority="475" stopIfTrue="1" operator="equal">
      <formula>"B1"</formula>
    </cfRule>
  </conditionalFormatting>
  <conditionalFormatting sqref="Q9:Q25">
    <cfRule type="cellIs" dxfId="424" priority="474" stopIfTrue="1" operator="equal">
      <formula>"B1"</formula>
    </cfRule>
  </conditionalFormatting>
  <conditionalFormatting sqref="Q9:Q25">
    <cfRule type="cellIs" dxfId="423" priority="473" stopIfTrue="1" operator="equal">
      <formula>"B1"</formula>
    </cfRule>
  </conditionalFormatting>
  <conditionalFormatting sqref="Q9:Q25">
    <cfRule type="cellIs" dxfId="422" priority="472" stopIfTrue="1" operator="equal">
      <formula>"B1"</formula>
    </cfRule>
  </conditionalFormatting>
  <conditionalFormatting sqref="Q9:Q25">
    <cfRule type="cellIs" dxfId="421" priority="471" stopIfTrue="1" operator="equal">
      <formula>"B1"</formula>
    </cfRule>
  </conditionalFormatting>
  <conditionalFormatting sqref="Q9:Q25">
    <cfRule type="cellIs" dxfId="420" priority="470" stopIfTrue="1" operator="equal">
      <formula>"B1"</formula>
    </cfRule>
  </conditionalFormatting>
  <conditionalFormatting sqref="Q9:Q25">
    <cfRule type="cellIs" dxfId="419" priority="469" stopIfTrue="1" operator="equal">
      <formula>IF(AND(OR(#REF!="W",#REF!="Q",#REF!="J"),$J9&lt;150),100)</formula>
    </cfRule>
  </conditionalFormatting>
  <conditionalFormatting sqref="Q9:Q25">
    <cfRule type="cellIs" dxfId="418" priority="468" stopIfTrue="1" operator="equal">
      <formula>"B1"</formula>
    </cfRule>
  </conditionalFormatting>
  <conditionalFormatting sqref="Q9:Q25">
    <cfRule type="cellIs" dxfId="417" priority="467" stopIfTrue="1" operator="equal">
      <formula>"B1"</formula>
    </cfRule>
  </conditionalFormatting>
  <conditionalFormatting sqref="Q9:Q25">
    <cfRule type="cellIs" dxfId="416" priority="466" stopIfTrue="1" operator="equal">
      <formula>"B1"</formula>
    </cfRule>
  </conditionalFormatting>
  <conditionalFormatting sqref="Q9:Q25">
    <cfRule type="cellIs" dxfId="415" priority="465" stopIfTrue="1" operator="equal">
      <formula>"B1"</formula>
    </cfRule>
  </conditionalFormatting>
  <conditionalFormatting sqref="Q9:Q25">
    <cfRule type="cellIs" dxfId="414" priority="464" stopIfTrue="1" operator="equal">
      <formula>"B1"</formula>
    </cfRule>
  </conditionalFormatting>
  <conditionalFormatting sqref="Q9:Q25">
    <cfRule type="cellIs" dxfId="413" priority="463" stopIfTrue="1" operator="equal">
      <formula>"B1"</formula>
    </cfRule>
  </conditionalFormatting>
  <conditionalFormatting sqref="Q9:Q25">
    <cfRule type="cellIs" dxfId="412" priority="462" stopIfTrue="1" operator="equal">
      <formula>"B1"</formula>
    </cfRule>
  </conditionalFormatting>
  <conditionalFormatting sqref="Q9:Q25">
    <cfRule type="cellIs" dxfId="411" priority="461" stopIfTrue="1" operator="equal">
      <formula>"B1"</formula>
    </cfRule>
  </conditionalFormatting>
  <conditionalFormatting sqref="Q9:Q25">
    <cfRule type="cellIs" dxfId="410" priority="460" stopIfTrue="1" operator="equal">
      <formula>IF(AND(OR(#REF!="W",#REF!="Q",#REF!="J"),$J9&lt;150),100)</formula>
    </cfRule>
  </conditionalFormatting>
  <conditionalFormatting sqref="Q9:Q25">
    <cfRule type="cellIs" dxfId="409" priority="459" stopIfTrue="1" operator="equal">
      <formula>"B1"</formula>
    </cfRule>
  </conditionalFormatting>
  <conditionalFormatting sqref="Q9:Q25">
    <cfRule type="cellIs" dxfId="408" priority="458" stopIfTrue="1" operator="equal">
      <formula>"B1"</formula>
    </cfRule>
  </conditionalFormatting>
  <conditionalFormatting sqref="Q9:Q25">
    <cfRule type="cellIs" dxfId="407" priority="457" stopIfTrue="1" operator="equal">
      <formula>"B1"</formula>
    </cfRule>
  </conditionalFormatting>
  <conditionalFormatting sqref="Q9:Q25">
    <cfRule type="cellIs" dxfId="406" priority="456" stopIfTrue="1" operator="equal">
      <formula>"B1"</formula>
    </cfRule>
  </conditionalFormatting>
  <conditionalFormatting sqref="Q9:Q25">
    <cfRule type="cellIs" dxfId="405" priority="455" stopIfTrue="1" operator="equal">
      <formula>"B1"</formula>
    </cfRule>
  </conditionalFormatting>
  <conditionalFormatting sqref="Q9:Q25">
    <cfRule type="cellIs" dxfId="404" priority="454" stopIfTrue="1" operator="equal">
      <formula>"B1"</formula>
    </cfRule>
  </conditionalFormatting>
  <conditionalFormatting sqref="Q9:Q25">
    <cfRule type="cellIs" dxfId="403" priority="453" stopIfTrue="1" operator="equal">
      <formula>"B1"</formula>
    </cfRule>
  </conditionalFormatting>
  <conditionalFormatting sqref="Q9:Q25">
    <cfRule type="cellIs" dxfId="402" priority="452" stopIfTrue="1" operator="equal">
      <formula>"B1"</formula>
    </cfRule>
  </conditionalFormatting>
  <conditionalFormatting sqref="Q9:Q25">
    <cfRule type="cellIs" dxfId="401" priority="451" stopIfTrue="1" operator="equal">
      <formula>IF(AND(OR(#REF!="W",#REF!="Q",#REF!="J"),$J9&lt;150),100)</formula>
    </cfRule>
  </conditionalFormatting>
  <conditionalFormatting sqref="Q9:Q25">
    <cfRule type="cellIs" dxfId="400" priority="450" stopIfTrue="1" operator="equal">
      <formula>"B1"</formula>
    </cfRule>
  </conditionalFormatting>
  <conditionalFormatting sqref="Q9:Q25">
    <cfRule type="cellIs" dxfId="399" priority="449" stopIfTrue="1" operator="equal">
      <formula>"B1"</formula>
    </cfRule>
  </conditionalFormatting>
  <conditionalFormatting sqref="Q9:Q25">
    <cfRule type="cellIs" dxfId="398" priority="448" stopIfTrue="1" operator="equal">
      <formula>"B1"</formula>
    </cfRule>
  </conditionalFormatting>
  <conditionalFormatting sqref="Q9:Q25">
    <cfRule type="cellIs" dxfId="397" priority="447" stopIfTrue="1" operator="equal">
      <formula>"B1"</formula>
    </cfRule>
  </conditionalFormatting>
  <conditionalFormatting sqref="Q9:Q25">
    <cfRule type="cellIs" dxfId="396" priority="446" stopIfTrue="1" operator="equal">
      <formula>"B1"</formula>
    </cfRule>
  </conditionalFormatting>
  <conditionalFormatting sqref="Q9:Q25">
    <cfRule type="cellIs" dxfId="395" priority="445" stopIfTrue="1" operator="equal">
      <formula>"B1"</formula>
    </cfRule>
  </conditionalFormatting>
  <conditionalFormatting sqref="Q9:Q25">
    <cfRule type="cellIs" dxfId="394" priority="444" stopIfTrue="1" operator="equal">
      <formula>"B1"</formula>
    </cfRule>
  </conditionalFormatting>
  <conditionalFormatting sqref="Q9:Q25">
    <cfRule type="cellIs" dxfId="393" priority="443" stopIfTrue="1" operator="equal">
      <formula>"B1"</formula>
    </cfRule>
  </conditionalFormatting>
  <conditionalFormatting sqref="Q9:Q25">
    <cfRule type="cellIs" dxfId="392" priority="442" stopIfTrue="1" operator="equal">
      <formula>IF(AND(OR(#REF!="W",#REF!="Q",#REF!="J"),$J9&lt;150),100)</formula>
    </cfRule>
  </conditionalFormatting>
  <conditionalFormatting sqref="Q9:Q25">
    <cfRule type="cellIs" dxfId="391" priority="441" stopIfTrue="1" operator="equal">
      <formula>"B1"</formula>
    </cfRule>
  </conditionalFormatting>
  <conditionalFormatting sqref="Q9:Q25">
    <cfRule type="cellIs" dxfId="390" priority="440" stopIfTrue="1" operator="equal">
      <formula>"B1"</formula>
    </cfRule>
  </conditionalFormatting>
  <conditionalFormatting sqref="Q9:Q25">
    <cfRule type="cellIs" dxfId="389" priority="439" stopIfTrue="1" operator="equal">
      <formula>"B1"</formula>
    </cfRule>
  </conditionalFormatting>
  <conditionalFormatting sqref="Q9:Q25">
    <cfRule type="cellIs" dxfId="388" priority="438" stopIfTrue="1" operator="equal">
      <formula>"B1"</formula>
    </cfRule>
  </conditionalFormatting>
  <conditionalFormatting sqref="Q9:Q25">
    <cfRule type="cellIs" dxfId="387" priority="437" stopIfTrue="1" operator="equal">
      <formula>"B1"</formula>
    </cfRule>
  </conditionalFormatting>
  <conditionalFormatting sqref="Q9:Q25">
    <cfRule type="cellIs" dxfId="386" priority="436" stopIfTrue="1" operator="equal">
      <formula>"B1"</formula>
    </cfRule>
  </conditionalFormatting>
  <conditionalFormatting sqref="Q9:Q25">
    <cfRule type="cellIs" dxfId="385" priority="435" stopIfTrue="1" operator="equal">
      <formula>"B1"</formula>
    </cfRule>
  </conditionalFormatting>
  <conditionalFormatting sqref="Q9:Q25">
    <cfRule type="cellIs" dxfId="384" priority="434" stopIfTrue="1" operator="equal">
      <formula>"B1"</formula>
    </cfRule>
  </conditionalFormatting>
  <conditionalFormatting sqref="Q9:Q25">
    <cfRule type="cellIs" dxfId="383" priority="433" stopIfTrue="1" operator="equal">
      <formula>IF(AND(OR(#REF!="W",#REF!="Q",#REF!="J"),$J9&lt;150),100)</formula>
    </cfRule>
  </conditionalFormatting>
  <conditionalFormatting sqref="Q9:Q25">
    <cfRule type="cellIs" dxfId="382" priority="432" stopIfTrue="1" operator="equal">
      <formula>"B1"</formula>
    </cfRule>
  </conditionalFormatting>
  <conditionalFormatting sqref="Q9:Q25">
    <cfRule type="cellIs" dxfId="381" priority="431" stopIfTrue="1" operator="equal">
      <formula>"B1"</formula>
    </cfRule>
  </conditionalFormatting>
  <conditionalFormatting sqref="Q9:Q25">
    <cfRule type="cellIs" dxfId="380" priority="430" stopIfTrue="1" operator="equal">
      <formula>"B1"</formula>
    </cfRule>
  </conditionalFormatting>
  <conditionalFormatting sqref="Q9:Q25">
    <cfRule type="cellIs" dxfId="379" priority="429" stopIfTrue="1" operator="equal">
      <formula>"B1"</formula>
    </cfRule>
  </conditionalFormatting>
  <conditionalFormatting sqref="Q9:Q25">
    <cfRule type="cellIs" dxfId="378" priority="428" stopIfTrue="1" operator="equal">
      <formula>"B1"</formula>
    </cfRule>
  </conditionalFormatting>
  <conditionalFormatting sqref="Q9:Q25">
    <cfRule type="cellIs" dxfId="377" priority="427" stopIfTrue="1" operator="equal">
      <formula>"B1"</formula>
    </cfRule>
  </conditionalFormatting>
  <conditionalFormatting sqref="Q9:Q25">
    <cfRule type="cellIs" dxfId="376" priority="426" stopIfTrue="1" operator="equal">
      <formula>"B1"</formula>
    </cfRule>
  </conditionalFormatting>
  <conditionalFormatting sqref="Q9:Q25">
    <cfRule type="cellIs" dxfId="375" priority="425" stopIfTrue="1" operator="equal">
      <formula>"B1"</formula>
    </cfRule>
  </conditionalFormatting>
  <conditionalFormatting sqref="Q9:Q25">
    <cfRule type="cellIs" dxfId="374" priority="424" stopIfTrue="1" operator="equal">
      <formula>IF(AND(OR(#REF!="W",#REF!="Q",#REF!="J"),$J9&lt;150),100)</formula>
    </cfRule>
  </conditionalFormatting>
  <conditionalFormatting sqref="Q9:Q25">
    <cfRule type="cellIs" dxfId="373" priority="423" stopIfTrue="1" operator="equal">
      <formula>"B1"</formula>
    </cfRule>
  </conditionalFormatting>
  <conditionalFormatting sqref="Q9:Q25">
    <cfRule type="cellIs" dxfId="372" priority="422" stopIfTrue="1" operator="equal">
      <formula>"B1"</formula>
    </cfRule>
  </conditionalFormatting>
  <conditionalFormatting sqref="Q9:Q25">
    <cfRule type="cellIs" dxfId="371" priority="421" stopIfTrue="1" operator="equal">
      <formula>"B1"</formula>
    </cfRule>
  </conditionalFormatting>
  <conditionalFormatting sqref="Q9:Q25">
    <cfRule type="cellIs" dxfId="370" priority="420" stopIfTrue="1" operator="equal">
      <formula>"B1"</formula>
    </cfRule>
  </conditionalFormatting>
  <conditionalFormatting sqref="Q9:Q25">
    <cfRule type="cellIs" dxfId="369" priority="419" stopIfTrue="1" operator="equal">
      <formula>"B1"</formula>
    </cfRule>
  </conditionalFormatting>
  <conditionalFormatting sqref="Q9:Q25">
    <cfRule type="cellIs" dxfId="368" priority="418" stopIfTrue="1" operator="equal">
      <formula>"B1"</formula>
    </cfRule>
  </conditionalFormatting>
  <conditionalFormatting sqref="Q9:Q25">
    <cfRule type="cellIs" dxfId="367" priority="417" stopIfTrue="1" operator="equal">
      <formula>"B1"</formula>
    </cfRule>
  </conditionalFormatting>
  <conditionalFormatting sqref="Q9:Q25">
    <cfRule type="cellIs" dxfId="366" priority="416" stopIfTrue="1" operator="equal">
      <formula>"B1"</formula>
    </cfRule>
  </conditionalFormatting>
  <conditionalFormatting sqref="Q9:Q25">
    <cfRule type="cellIs" dxfId="365" priority="415" stopIfTrue="1" operator="equal">
      <formula>IF(AND(OR(#REF!="W",#REF!="Q",#REF!="J"),$J9&lt;150),100)</formula>
    </cfRule>
  </conditionalFormatting>
  <conditionalFormatting sqref="Q9:Q25">
    <cfRule type="cellIs" dxfId="364" priority="414" stopIfTrue="1" operator="equal">
      <formula>"B1"</formula>
    </cfRule>
  </conditionalFormatting>
  <conditionalFormatting sqref="Q9:Q25">
    <cfRule type="cellIs" dxfId="363" priority="413" stopIfTrue="1" operator="equal">
      <formula>"B1"</formula>
    </cfRule>
  </conditionalFormatting>
  <conditionalFormatting sqref="Q9:Q25">
    <cfRule type="cellIs" dxfId="362" priority="412" stopIfTrue="1" operator="equal">
      <formula>"B1"</formula>
    </cfRule>
  </conditionalFormatting>
  <conditionalFormatting sqref="Q9:Q25">
    <cfRule type="cellIs" dxfId="361" priority="411" stopIfTrue="1" operator="equal">
      <formula>"B1"</formula>
    </cfRule>
  </conditionalFormatting>
  <conditionalFormatting sqref="Q9:Q25">
    <cfRule type="cellIs" dxfId="360" priority="410" stopIfTrue="1" operator="equal">
      <formula>"B1"</formula>
    </cfRule>
  </conditionalFormatting>
  <conditionalFormatting sqref="Q9:Q25">
    <cfRule type="cellIs" dxfId="359" priority="409" stopIfTrue="1" operator="equal">
      <formula>"B1"</formula>
    </cfRule>
  </conditionalFormatting>
  <conditionalFormatting sqref="Q9:Q25">
    <cfRule type="cellIs" dxfId="358" priority="408" stopIfTrue="1" operator="equal">
      <formula>"B1"</formula>
    </cfRule>
  </conditionalFormatting>
  <conditionalFormatting sqref="Q9:Q25">
    <cfRule type="cellIs" dxfId="357" priority="407" stopIfTrue="1" operator="equal">
      <formula>"B1"</formula>
    </cfRule>
  </conditionalFormatting>
  <conditionalFormatting sqref="Q9:Q25">
    <cfRule type="cellIs" dxfId="356" priority="406" stopIfTrue="1" operator="equal">
      <formula>IF(AND(OR(#REF!="W",#REF!="Q",#REF!="J"),$J9&lt;150),100)</formula>
    </cfRule>
  </conditionalFormatting>
  <conditionalFormatting sqref="Q9:Q25">
    <cfRule type="cellIs" dxfId="355" priority="405" stopIfTrue="1" operator="equal">
      <formula>"B1"</formula>
    </cfRule>
  </conditionalFormatting>
  <conditionalFormatting sqref="Q9:Q25">
    <cfRule type="cellIs" dxfId="354" priority="404" stopIfTrue="1" operator="equal">
      <formula>"B1"</formula>
    </cfRule>
  </conditionalFormatting>
  <conditionalFormatting sqref="Q9:Q25">
    <cfRule type="cellIs" dxfId="353" priority="403" stopIfTrue="1" operator="equal">
      <formula>"B1"</formula>
    </cfRule>
  </conditionalFormatting>
  <conditionalFormatting sqref="Q9:Q25">
    <cfRule type="cellIs" dxfId="352" priority="402" stopIfTrue="1" operator="equal">
      <formula>"B1"</formula>
    </cfRule>
  </conditionalFormatting>
  <conditionalFormatting sqref="Q9:Q25">
    <cfRule type="cellIs" dxfId="351" priority="401" stopIfTrue="1" operator="equal">
      <formula>"B1"</formula>
    </cfRule>
  </conditionalFormatting>
  <conditionalFormatting sqref="Q9:Q25">
    <cfRule type="cellIs" dxfId="350" priority="400" stopIfTrue="1" operator="equal">
      <formula>"B1"</formula>
    </cfRule>
  </conditionalFormatting>
  <conditionalFormatting sqref="Q9:Q25">
    <cfRule type="cellIs" dxfId="349" priority="399" stopIfTrue="1" operator="equal">
      <formula>"B1"</formula>
    </cfRule>
  </conditionalFormatting>
  <conditionalFormatting sqref="Q9:Q25">
    <cfRule type="cellIs" dxfId="348" priority="398" stopIfTrue="1" operator="equal">
      <formula>"B1"</formula>
    </cfRule>
  </conditionalFormatting>
  <conditionalFormatting sqref="Q9:Q25">
    <cfRule type="cellIs" dxfId="347" priority="397" stopIfTrue="1" operator="equal">
      <formula>IF(AND(OR(#REF!="W",#REF!="Q",#REF!="J"),$J9&lt;150),100)</formula>
    </cfRule>
  </conditionalFormatting>
  <conditionalFormatting sqref="Q9:Q25">
    <cfRule type="cellIs" dxfId="346" priority="396" stopIfTrue="1" operator="equal">
      <formula>"B1"</formula>
    </cfRule>
  </conditionalFormatting>
  <conditionalFormatting sqref="Q9:Q25">
    <cfRule type="cellIs" dxfId="345" priority="395" stopIfTrue="1" operator="equal">
      <formula>"B1"</formula>
    </cfRule>
  </conditionalFormatting>
  <conditionalFormatting sqref="Q9:Q25">
    <cfRule type="cellIs" dxfId="344" priority="394" stopIfTrue="1" operator="equal">
      <formula>"B1"</formula>
    </cfRule>
  </conditionalFormatting>
  <conditionalFormatting sqref="Q9:Q25">
    <cfRule type="cellIs" dxfId="343" priority="393" stopIfTrue="1" operator="equal">
      <formula>"B1"</formula>
    </cfRule>
  </conditionalFormatting>
  <conditionalFormatting sqref="Q9:Q25">
    <cfRule type="cellIs" dxfId="342" priority="392" stopIfTrue="1" operator="equal">
      <formula>"B1"</formula>
    </cfRule>
  </conditionalFormatting>
  <conditionalFormatting sqref="Q9:Q25">
    <cfRule type="cellIs" dxfId="341" priority="391" stopIfTrue="1" operator="equal">
      <formula>"B1"</formula>
    </cfRule>
  </conditionalFormatting>
  <conditionalFormatting sqref="Q9:Q25">
    <cfRule type="cellIs" dxfId="340" priority="390" stopIfTrue="1" operator="equal">
      <formula>"B1"</formula>
    </cfRule>
  </conditionalFormatting>
  <conditionalFormatting sqref="Q9:Q25">
    <cfRule type="cellIs" dxfId="339" priority="389" stopIfTrue="1" operator="equal">
      <formula>"B1"</formula>
    </cfRule>
  </conditionalFormatting>
  <conditionalFormatting sqref="Q9:Q25">
    <cfRule type="cellIs" dxfId="338" priority="388" stopIfTrue="1" operator="equal">
      <formula>IF(AND(OR(#REF!="W",#REF!="Q",#REF!="J"),$J9&lt;150),100)</formula>
    </cfRule>
  </conditionalFormatting>
  <conditionalFormatting sqref="Q9:Q25">
    <cfRule type="cellIs" dxfId="337" priority="387" stopIfTrue="1" operator="equal">
      <formula>"B1"</formula>
    </cfRule>
  </conditionalFormatting>
  <conditionalFormatting sqref="Q9:Q25">
    <cfRule type="cellIs" dxfId="336" priority="386" stopIfTrue="1" operator="equal">
      <formula>"B1"</formula>
    </cfRule>
  </conditionalFormatting>
  <conditionalFormatting sqref="Q9:Q25">
    <cfRule type="cellIs" dxfId="335" priority="385" stopIfTrue="1" operator="equal">
      <formula>"B1"</formula>
    </cfRule>
  </conditionalFormatting>
  <conditionalFormatting sqref="Q9:Q25">
    <cfRule type="cellIs" dxfId="334" priority="384" stopIfTrue="1" operator="equal">
      <formula>"B1"</formula>
    </cfRule>
  </conditionalFormatting>
  <conditionalFormatting sqref="Q9:Q25">
    <cfRule type="cellIs" dxfId="333" priority="383" stopIfTrue="1" operator="equal">
      <formula>"B1"</formula>
    </cfRule>
  </conditionalFormatting>
  <conditionalFormatting sqref="Q9:Q25">
    <cfRule type="cellIs" dxfId="332" priority="382" stopIfTrue="1" operator="equal">
      <formula>"B1"</formula>
    </cfRule>
  </conditionalFormatting>
  <conditionalFormatting sqref="Q9:Q25">
    <cfRule type="cellIs" dxfId="331" priority="381" stopIfTrue="1" operator="equal">
      <formula>"B1"</formula>
    </cfRule>
  </conditionalFormatting>
  <conditionalFormatting sqref="Q9:Q25">
    <cfRule type="cellIs" dxfId="330" priority="380" stopIfTrue="1" operator="equal">
      <formula>"B1"</formula>
    </cfRule>
  </conditionalFormatting>
  <conditionalFormatting sqref="Q9:Q25">
    <cfRule type="cellIs" dxfId="329" priority="379" stopIfTrue="1" operator="equal">
      <formula>IF(AND(OR(#REF!="W",#REF!="Q",#REF!="J"),$J9&lt;150),100)</formula>
    </cfRule>
  </conditionalFormatting>
  <conditionalFormatting sqref="Q9:Q25">
    <cfRule type="cellIs" dxfId="328" priority="378" stopIfTrue="1" operator="equal">
      <formula>"B1"</formula>
    </cfRule>
  </conditionalFormatting>
  <conditionalFormatting sqref="Q9:Q25">
    <cfRule type="cellIs" dxfId="327" priority="377" stopIfTrue="1" operator="equal">
      <formula>"B1"</formula>
    </cfRule>
  </conditionalFormatting>
  <conditionalFormatting sqref="Q9:Q25">
    <cfRule type="cellIs" dxfId="326" priority="376" stopIfTrue="1" operator="equal">
      <formula>"B1"</formula>
    </cfRule>
  </conditionalFormatting>
  <conditionalFormatting sqref="Q9:Q25">
    <cfRule type="cellIs" dxfId="325" priority="375" stopIfTrue="1" operator="equal">
      <formula>"B1"</formula>
    </cfRule>
  </conditionalFormatting>
  <conditionalFormatting sqref="Q9:Q25">
    <cfRule type="cellIs" dxfId="324" priority="374" stopIfTrue="1" operator="equal">
      <formula>"B1"</formula>
    </cfRule>
  </conditionalFormatting>
  <conditionalFormatting sqref="Q9:Q25">
    <cfRule type="cellIs" dxfId="323" priority="373" stopIfTrue="1" operator="equal">
      <formula>"B1"</formula>
    </cfRule>
  </conditionalFormatting>
  <conditionalFormatting sqref="Q9:Q25">
    <cfRule type="cellIs" dxfId="322" priority="372" stopIfTrue="1" operator="equal">
      <formula>"B1"</formula>
    </cfRule>
  </conditionalFormatting>
  <conditionalFormatting sqref="Q9:Q25">
    <cfRule type="cellIs" dxfId="321" priority="371" stopIfTrue="1" operator="equal">
      <formula>"B1"</formula>
    </cfRule>
  </conditionalFormatting>
  <conditionalFormatting sqref="Q9:Q25">
    <cfRule type="cellIs" dxfId="320" priority="370" stopIfTrue="1" operator="equal">
      <formula>IF(AND(OR(#REF!="W",#REF!="Q",#REF!="J"),$J9&lt;150),100)</formula>
    </cfRule>
  </conditionalFormatting>
  <conditionalFormatting sqref="Q9:Q25">
    <cfRule type="cellIs" dxfId="319" priority="369" stopIfTrue="1" operator="equal">
      <formula>"B1"</formula>
    </cfRule>
  </conditionalFormatting>
  <conditionalFormatting sqref="Q9:Q25">
    <cfRule type="cellIs" dxfId="318" priority="368" stopIfTrue="1" operator="equal">
      <formula>"B1"</formula>
    </cfRule>
  </conditionalFormatting>
  <conditionalFormatting sqref="Q9:Q25">
    <cfRule type="cellIs" dxfId="317" priority="367" stopIfTrue="1" operator="equal">
      <formula>"B1"</formula>
    </cfRule>
  </conditionalFormatting>
  <conditionalFormatting sqref="Q9:Q25">
    <cfRule type="cellIs" dxfId="316" priority="366" stopIfTrue="1" operator="equal">
      <formula>"B1"</formula>
    </cfRule>
  </conditionalFormatting>
  <conditionalFormatting sqref="Q9:Q25">
    <cfRule type="cellIs" dxfId="315" priority="365" stopIfTrue="1" operator="equal">
      <formula>"B1"</formula>
    </cfRule>
  </conditionalFormatting>
  <conditionalFormatting sqref="Q9:Q25">
    <cfRule type="cellIs" dxfId="314" priority="364" stopIfTrue="1" operator="equal">
      <formula>"B1"</formula>
    </cfRule>
  </conditionalFormatting>
  <conditionalFormatting sqref="Q9:Q25">
    <cfRule type="cellIs" dxfId="313" priority="363" stopIfTrue="1" operator="equal">
      <formula>"B1"</formula>
    </cfRule>
  </conditionalFormatting>
  <conditionalFormatting sqref="Q9:Q25">
    <cfRule type="cellIs" dxfId="312" priority="362" stopIfTrue="1" operator="equal">
      <formula>"B1"</formula>
    </cfRule>
  </conditionalFormatting>
  <conditionalFormatting sqref="Q9:Q25">
    <cfRule type="cellIs" dxfId="311" priority="361" stopIfTrue="1" operator="equal">
      <formula>IF(AND(OR(#REF!="W",#REF!="Q",#REF!="J"),$J9&lt;150),100)</formula>
    </cfRule>
  </conditionalFormatting>
  <conditionalFormatting sqref="Q9:Q25">
    <cfRule type="cellIs" dxfId="310" priority="360" stopIfTrue="1" operator="equal">
      <formula>"B1"</formula>
    </cfRule>
  </conditionalFormatting>
  <conditionalFormatting sqref="Q9:Q25">
    <cfRule type="cellIs" dxfId="309" priority="359" stopIfTrue="1" operator="equal">
      <formula>"B1"</formula>
    </cfRule>
  </conditionalFormatting>
  <conditionalFormatting sqref="Q9:Q25">
    <cfRule type="cellIs" dxfId="308" priority="358" stopIfTrue="1" operator="equal">
      <formula>"B1"</formula>
    </cfRule>
  </conditionalFormatting>
  <conditionalFormatting sqref="Q9:Q25">
    <cfRule type="cellIs" dxfId="307" priority="357" stopIfTrue="1" operator="equal">
      <formula>"B1"</formula>
    </cfRule>
  </conditionalFormatting>
  <conditionalFormatting sqref="Q9:Q25">
    <cfRule type="cellIs" dxfId="306" priority="356" stopIfTrue="1" operator="equal">
      <formula>"B1"</formula>
    </cfRule>
  </conditionalFormatting>
  <conditionalFormatting sqref="Q9:Q25">
    <cfRule type="cellIs" dxfId="305" priority="355" stopIfTrue="1" operator="equal">
      <formula>"B1"</formula>
    </cfRule>
  </conditionalFormatting>
  <conditionalFormatting sqref="Q9:Q25">
    <cfRule type="cellIs" dxfId="304" priority="354" stopIfTrue="1" operator="equal">
      <formula>"B1"</formula>
    </cfRule>
  </conditionalFormatting>
  <conditionalFormatting sqref="Q9:Q25">
    <cfRule type="cellIs" dxfId="303" priority="353" stopIfTrue="1" operator="equal">
      <formula>"B1"</formula>
    </cfRule>
  </conditionalFormatting>
  <conditionalFormatting sqref="Q9:Q25">
    <cfRule type="cellIs" dxfId="302" priority="352" stopIfTrue="1" operator="equal">
      <formula>IF(AND(OR(#REF!="W",#REF!="Q",#REF!="J"),$J9&lt;150),100)</formula>
    </cfRule>
  </conditionalFormatting>
  <conditionalFormatting sqref="Q9:Q25">
    <cfRule type="cellIs" dxfId="301" priority="351" stopIfTrue="1" operator="equal">
      <formula>"B1"</formula>
    </cfRule>
  </conditionalFormatting>
  <conditionalFormatting sqref="Q9:Q25">
    <cfRule type="cellIs" dxfId="300" priority="350" stopIfTrue="1" operator="equal">
      <formula>"B1"</formula>
    </cfRule>
  </conditionalFormatting>
  <conditionalFormatting sqref="Q9:Q25">
    <cfRule type="cellIs" dxfId="299" priority="349" stopIfTrue="1" operator="equal">
      <formula>"B1"</formula>
    </cfRule>
  </conditionalFormatting>
  <conditionalFormatting sqref="Q9:Q25">
    <cfRule type="cellIs" dxfId="298" priority="348" stopIfTrue="1" operator="equal">
      <formula>"B1"</formula>
    </cfRule>
  </conditionalFormatting>
  <conditionalFormatting sqref="Q9:Q25">
    <cfRule type="cellIs" dxfId="297" priority="347" stopIfTrue="1" operator="equal">
      <formula>"B1"</formula>
    </cfRule>
  </conditionalFormatting>
  <conditionalFormatting sqref="Q9:Q25">
    <cfRule type="cellIs" dxfId="296" priority="346" stopIfTrue="1" operator="equal">
      <formula>"B1"</formula>
    </cfRule>
  </conditionalFormatting>
  <conditionalFormatting sqref="Q9:Q25">
    <cfRule type="cellIs" dxfId="295" priority="345" stopIfTrue="1" operator="equal">
      <formula>"B1"</formula>
    </cfRule>
  </conditionalFormatting>
  <conditionalFormatting sqref="Q9:Q25">
    <cfRule type="cellIs" dxfId="294" priority="344" stopIfTrue="1" operator="equal">
      <formula>"B1"</formula>
    </cfRule>
  </conditionalFormatting>
  <conditionalFormatting sqref="Q9:Q25">
    <cfRule type="cellIs" dxfId="293" priority="343" stopIfTrue="1" operator="equal">
      <formula>IF(AND(OR(#REF!="W",#REF!="Q",#REF!="J"),$J9&lt;150),100)</formula>
    </cfRule>
  </conditionalFormatting>
  <conditionalFormatting sqref="Q9:Q25">
    <cfRule type="cellIs" dxfId="292" priority="342" stopIfTrue="1" operator="equal">
      <formula>"B1"</formula>
    </cfRule>
  </conditionalFormatting>
  <conditionalFormatting sqref="Q9:Q25">
    <cfRule type="cellIs" dxfId="291" priority="341" stopIfTrue="1" operator="equal">
      <formula>"B1"</formula>
    </cfRule>
  </conditionalFormatting>
  <conditionalFormatting sqref="Q9:Q25">
    <cfRule type="cellIs" dxfId="290" priority="340" stopIfTrue="1" operator="equal">
      <formula>"B1"</formula>
    </cfRule>
  </conditionalFormatting>
  <conditionalFormatting sqref="Q9:Q25">
    <cfRule type="cellIs" dxfId="289" priority="339" stopIfTrue="1" operator="equal">
      <formula>"B1"</formula>
    </cfRule>
  </conditionalFormatting>
  <conditionalFormatting sqref="Q9:Q25">
    <cfRule type="cellIs" dxfId="288" priority="338" stopIfTrue="1" operator="equal">
      <formula>"B1"</formula>
    </cfRule>
  </conditionalFormatting>
  <conditionalFormatting sqref="Q9:Q25">
    <cfRule type="cellIs" dxfId="287" priority="337" stopIfTrue="1" operator="equal">
      <formula>"B1"</formula>
    </cfRule>
  </conditionalFormatting>
  <conditionalFormatting sqref="Q9:Q25">
    <cfRule type="cellIs" dxfId="286" priority="336" stopIfTrue="1" operator="equal">
      <formula>"B1"</formula>
    </cfRule>
  </conditionalFormatting>
  <conditionalFormatting sqref="Q9:Q25">
    <cfRule type="cellIs" dxfId="285" priority="335" stopIfTrue="1" operator="equal">
      <formula>"B1"</formula>
    </cfRule>
  </conditionalFormatting>
  <conditionalFormatting sqref="Q9:Q25">
    <cfRule type="cellIs" dxfId="284" priority="334" stopIfTrue="1" operator="equal">
      <formula>IF(AND(OR(#REF!="W",#REF!="Q",#REF!="J"),$J9&lt;150),100)</formula>
    </cfRule>
  </conditionalFormatting>
  <conditionalFormatting sqref="Q9:Q25">
    <cfRule type="cellIs" dxfId="283" priority="333" stopIfTrue="1" operator="equal">
      <formula>"B1"</formula>
    </cfRule>
  </conditionalFormatting>
  <conditionalFormatting sqref="Q9:Q25">
    <cfRule type="cellIs" dxfId="282" priority="332" stopIfTrue="1" operator="equal">
      <formula>"B1"</formula>
    </cfRule>
  </conditionalFormatting>
  <conditionalFormatting sqref="Q9:Q25">
    <cfRule type="cellIs" dxfId="281" priority="331" stopIfTrue="1" operator="equal">
      <formula>"B1"</formula>
    </cfRule>
  </conditionalFormatting>
  <conditionalFormatting sqref="Q9:Q25">
    <cfRule type="cellIs" dxfId="280" priority="330" stopIfTrue="1" operator="equal">
      <formula>"B1"</formula>
    </cfRule>
  </conditionalFormatting>
  <conditionalFormatting sqref="Q9:Q25">
    <cfRule type="cellIs" dxfId="279" priority="329" stopIfTrue="1" operator="equal">
      <formula>"B1"</formula>
    </cfRule>
  </conditionalFormatting>
  <conditionalFormatting sqref="Q9:Q25">
    <cfRule type="cellIs" dxfId="278" priority="328" stopIfTrue="1" operator="equal">
      <formula>"B1"</formula>
    </cfRule>
  </conditionalFormatting>
  <conditionalFormatting sqref="Q9:Q25">
    <cfRule type="cellIs" dxfId="277" priority="327" stopIfTrue="1" operator="equal">
      <formula>"B1"</formula>
    </cfRule>
  </conditionalFormatting>
  <conditionalFormatting sqref="Q9:Q25">
    <cfRule type="cellIs" dxfId="276" priority="326" stopIfTrue="1" operator="equal">
      <formula>"B1"</formula>
    </cfRule>
  </conditionalFormatting>
  <conditionalFormatting sqref="Q9:Q25">
    <cfRule type="cellIs" dxfId="275" priority="325" stopIfTrue="1" operator="equal">
      <formula>IF(AND(OR(#REF!="W",#REF!="Q",#REF!="J"),$J9&lt;150),100)</formula>
    </cfRule>
  </conditionalFormatting>
  <conditionalFormatting sqref="Q9:Q25">
    <cfRule type="cellIs" dxfId="274" priority="324" stopIfTrue="1" operator="equal">
      <formula>"B1"</formula>
    </cfRule>
  </conditionalFormatting>
  <conditionalFormatting sqref="Q9:Q25">
    <cfRule type="cellIs" dxfId="273" priority="323" stopIfTrue="1" operator="equal">
      <formula>"B1"</formula>
    </cfRule>
  </conditionalFormatting>
  <conditionalFormatting sqref="Q9:Q25">
    <cfRule type="cellIs" dxfId="272" priority="322" stopIfTrue="1" operator="equal">
      <formula>"B1"</formula>
    </cfRule>
  </conditionalFormatting>
  <conditionalFormatting sqref="Q9:Q25">
    <cfRule type="cellIs" dxfId="271" priority="321" stopIfTrue="1" operator="equal">
      <formula>"B1"</formula>
    </cfRule>
  </conditionalFormatting>
  <conditionalFormatting sqref="Q9:Q25">
    <cfRule type="cellIs" dxfId="270" priority="320" stopIfTrue="1" operator="equal">
      <formula>"B1"</formula>
    </cfRule>
  </conditionalFormatting>
  <conditionalFormatting sqref="Q9:Q25">
    <cfRule type="cellIs" dxfId="269" priority="319" stopIfTrue="1" operator="equal">
      <formula>"B1"</formula>
    </cfRule>
  </conditionalFormatting>
  <conditionalFormatting sqref="Q9:Q25">
    <cfRule type="cellIs" dxfId="268" priority="318" stopIfTrue="1" operator="equal">
      <formula>"B1"</formula>
    </cfRule>
  </conditionalFormatting>
  <conditionalFormatting sqref="Q9:Q25">
    <cfRule type="cellIs" dxfId="267" priority="317" stopIfTrue="1" operator="equal">
      <formula>"B1"</formula>
    </cfRule>
  </conditionalFormatting>
  <conditionalFormatting sqref="Q9:Q25">
    <cfRule type="cellIs" dxfId="266" priority="316" stopIfTrue="1" operator="equal">
      <formula>IF(AND(OR(#REF!="W",#REF!="Q",#REF!="J"),$J9&lt;150),100)</formula>
    </cfRule>
  </conditionalFormatting>
  <conditionalFormatting sqref="Q9:Q25">
    <cfRule type="cellIs" dxfId="265" priority="315" stopIfTrue="1" operator="equal">
      <formula>"B1"</formula>
    </cfRule>
  </conditionalFormatting>
  <conditionalFormatting sqref="Q9:Q25">
    <cfRule type="cellIs" dxfId="264" priority="314" stopIfTrue="1" operator="equal">
      <formula>"B1"</formula>
    </cfRule>
  </conditionalFormatting>
  <conditionalFormatting sqref="Q9:Q25">
    <cfRule type="cellIs" dxfId="263" priority="313" stopIfTrue="1" operator="equal">
      <formula>"B1"</formula>
    </cfRule>
  </conditionalFormatting>
  <conditionalFormatting sqref="Q9:Q25">
    <cfRule type="cellIs" dxfId="262" priority="312" stopIfTrue="1" operator="equal">
      <formula>"B1"</formula>
    </cfRule>
  </conditionalFormatting>
  <conditionalFormatting sqref="Q9:Q25">
    <cfRule type="cellIs" dxfId="261" priority="311" stopIfTrue="1" operator="equal">
      <formula>"B1"</formula>
    </cfRule>
  </conditionalFormatting>
  <conditionalFormatting sqref="Q9:Q25">
    <cfRule type="cellIs" dxfId="260" priority="310" stopIfTrue="1" operator="equal">
      <formula>"B1"</formula>
    </cfRule>
  </conditionalFormatting>
  <conditionalFormatting sqref="Q9:Q25">
    <cfRule type="cellIs" dxfId="259" priority="309" stopIfTrue="1" operator="equal">
      <formula>"B1"</formula>
    </cfRule>
  </conditionalFormatting>
  <conditionalFormatting sqref="Q9:Q25">
    <cfRule type="cellIs" dxfId="258" priority="308" stopIfTrue="1" operator="equal">
      <formula>"B1"</formula>
    </cfRule>
  </conditionalFormatting>
  <conditionalFormatting sqref="Q9:Q25">
    <cfRule type="cellIs" dxfId="257" priority="307" stopIfTrue="1" operator="equal">
      <formula>IF(AND(OR(#REF!="W",#REF!="Q",#REF!="J"),$J9&lt;150),100)</formula>
    </cfRule>
  </conditionalFormatting>
  <conditionalFormatting sqref="Q9:Q25">
    <cfRule type="cellIs" dxfId="256" priority="306" stopIfTrue="1" operator="equal">
      <formula>"B1"</formula>
    </cfRule>
  </conditionalFormatting>
  <conditionalFormatting sqref="Q9:Q25">
    <cfRule type="cellIs" dxfId="255" priority="305" stopIfTrue="1" operator="equal">
      <formula>"B1"</formula>
    </cfRule>
  </conditionalFormatting>
  <conditionalFormatting sqref="Q9:Q25">
    <cfRule type="cellIs" dxfId="254" priority="304" stopIfTrue="1" operator="equal">
      <formula>"B1"</formula>
    </cfRule>
  </conditionalFormatting>
  <conditionalFormatting sqref="Q9:Q25">
    <cfRule type="cellIs" dxfId="253" priority="303" stopIfTrue="1" operator="equal">
      <formula>"B1"</formula>
    </cfRule>
  </conditionalFormatting>
  <conditionalFormatting sqref="Q9:Q25">
    <cfRule type="cellIs" dxfId="252" priority="302" stopIfTrue="1" operator="equal">
      <formula>"B1"</formula>
    </cfRule>
  </conditionalFormatting>
  <conditionalFormatting sqref="Q9:Q25">
    <cfRule type="cellIs" dxfId="251" priority="301" stopIfTrue="1" operator="equal">
      <formula>"B1"</formula>
    </cfRule>
  </conditionalFormatting>
  <conditionalFormatting sqref="Q9:Q25">
    <cfRule type="cellIs" dxfId="250" priority="300" stopIfTrue="1" operator="equal">
      <formula>"B1"</formula>
    </cfRule>
  </conditionalFormatting>
  <conditionalFormatting sqref="Q9:Q25">
    <cfRule type="cellIs" dxfId="249" priority="299" stopIfTrue="1" operator="equal">
      <formula>"B1"</formula>
    </cfRule>
  </conditionalFormatting>
  <conditionalFormatting sqref="Q9:Q25">
    <cfRule type="cellIs" dxfId="248" priority="298" stopIfTrue="1" operator="equal">
      <formula>IF(AND(OR(#REF!="W",#REF!="Q",#REF!="J"),$J9&lt;150),100)</formula>
    </cfRule>
  </conditionalFormatting>
  <conditionalFormatting sqref="Q9:Q25">
    <cfRule type="cellIs" dxfId="247" priority="297" stopIfTrue="1" operator="equal">
      <formula>"B1"</formula>
    </cfRule>
  </conditionalFormatting>
  <conditionalFormatting sqref="Q9:Q25">
    <cfRule type="cellIs" dxfId="246" priority="296" stopIfTrue="1" operator="equal">
      <formula>"B1"</formula>
    </cfRule>
  </conditionalFormatting>
  <conditionalFormatting sqref="Q9:Q25">
    <cfRule type="cellIs" dxfId="245" priority="295" stopIfTrue="1" operator="equal">
      <formula>"B1"</formula>
    </cfRule>
  </conditionalFormatting>
  <conditionalFormatting sqref="Q9:Q25">
    <cfRule type="cellIs" dxfId="244" priority="294" stopIfTrue="1" operator="equal">
      <formula>"B1"</formula>
    </cfRule>
  </conditionalFormatting>
  <conditionalFormatting sqref="Q9:Q25">
    <cfRule type="cellIs" dxfId="243" priority="293" stopIfTrue="1" operator="equal">
      <formula>"B1"</formula>
    </cfRule>
  </conditionalFormatting>
  <conditionalFormatting sqref="Q9:Q25">
    <cfRule type="cellIs" dxfId="242" priority="292" stopIfTrue="1" operator="equal">
      <formula>"B1"</formula>
    </cfRule>
  </conditionalFormatting>
  <conditionalFormatting sqref="Q9:Q25">
    <cfRule type="cellIs" dxfId="241" priority="291" stopIfTrue="1" operator="equal">
      <formula>"B1"</formula>
    </cfRule>
  </conditionalFormatting>
  <conditionalFormatting sqref="Q9:Q25">
    <cfRule type="cellIs" dxfId="240" priority="290" stopIfTrue="1" operator="equal">
      <formula>"B1"</formula>
    </cfRule>
  </conditionalFormatting>
  <conditionalFormatting sqref="Q9:Q25">
    <cfRule type="cellIs" dxfId="239" priority="289" stopIfTrue="1" operator="equal">
      <formula>IF(AND(OR(#REF!="W",#REF!="Q",#REF!="J"),$J9&lt;150),100)</formula>
    </cfRule>
  </conditionalFormatting>
  <conditionalFormatting sqref="Q9:Q25">
    <cfRule type="cellIs" dxfId="238" priority="288" stopIfTrue="1" operator="equal">
      <formula>"B1"</formula>
    </cfRule>
  </conditionalFormatting>
  <conditionalFormatting sqref="Q9:Q25">
    <cfRule type="cellIs" dxfId="237" priority="287" stopIfTrue="1" operator="equal">
      <formula>"B1"</formula>
    </cfRule>
  </conditionalFormatting>
  <conditionalFormatting sqref="Q9:Q25">
    <cfRule type="cellIs" dxfId="236" priority="286" stopIfTrue="1" operator="equal">
      <formula>"B1"</formula>
    </cfRule>
  </conditionalFormatting>
  <conditionalFormatting sqref="Q9:Q25">
    <cfRule type="cellIs" dxfId="235" priority="285" stopIfTrue="1" operator="equal">
      <formula>"B1"</formula>
    </cfRule>
  </conditionalFormatting>
  <conditionalFormatting sqref="Q9:Q25">
    <cfRule type="cellIs" dxfId="234" priority="284" stopIfTrue="1" operator="equal">
      <formula>"B1"</formula>
    </cfRule>
  </conditionalFormatting>
  <conditionalFormatting sqref="Q9:Q25">
    <cfRule type="cellIs" dxfId="233" priority="283" stopIfTrue="1" operator="equal">
      <formula>"B1"</formula>
    </cfRule>
  </conditionalFormatting>
  <conditionalFormatting sqref="Q9:Q25">
    <cfRule type="cellIs" dxfId="232" priority="282" stopIfTrue="1" operator="equal">
      <formula>"B1"</formula>
    </cfRule>
  </conditionalFormatting>
  <conditionalFormatting sqref="Q9:Q25">
    <cfRule type="cellIs" dxfId="231" priority="281" stopIfTrue="1" operator="equal">
      <formula>"B1"</formula>
    </cfRule>
  </conditionalFormatting>
  <conditionalFormatting sqref="Q9:Q25">
    <cfRule type="cellIs" dxfId="230" priority="280" stopIfTrue="1" operator="equal">
      <formula>IF(AND(OR(#REF!="W",#REF!="Q",#REF!="J"),$J9&lt;150),100)</formula>
    </cfRule>
  </conditionalFormatting>
  <conditionalFormatting sqref="Q9:Q25">
    <cfRule type="cellIs" dxfId="229" priority="279" stopIfTrue="1" operator="equal">
      <formula>"B1"</formula>
    </cfRule>
  </conditionalFormatting>
  <conditionalFormatting sqref="Q9:Q25">
    <cfRule type="cellIs" dxfId="228" priority="278" stopIfTrue="1" operator="equal">
      <formula>"B1"</formula>
    </cfRule>
  </conditionalFormatting>
  <conditionalFormatting sqref="Q9:Q25">
    <cfRule type="cellIs" dxfId="227" priority="277" stopIfTrue="1" operator="equal">
      <formula>"B1"</formula>
    </cfRule>
  </conditionalFormatting>
  <conditionalFormatting sqref="Q9:Q25">
    <cfRule type="cellIs" dxfId="226" priority="276" stopIfTrue="1" operator="equal">
      <formula>"B1"</formula>
    </cfRule>
  </conditionalFormatting>
  <conditionalFormatting sqref="Q9:Q25">
    <cfRule type="cellIs" dxfId="225" priority="275" stopIfTrue="1" operator="equal">
      <formula>"B1"</formula>
    </cfRule>
  </conditionalFormatting>
  <conditionalFormatting sqref="Q9:Q25">
    <cfRule type="cellIs" dxfId="224" priority="274" stopIfTrue="1" operator="equal">
      <formula>"B1"</formula>
    </cfRule>
  </conditionalFormatting>
  <conditionalFormatting sqref="Q9:Q25">
    <cfRule type="cellIs" dxfId="223" priority="273" stopIfTrue="1" operator="equal">
      <formula>"B1"</formula>
    </cfRule>
  </conditionalFormatting>
  <conditionalFormatting sqref="Q9:Q25">
    <cfRule type="cellIs" dxfId="222" priority="272" stopIfTrue="1" operator="equal">
      <formula>"B1"</formula>
    </cfRule>
  </conditionalFormatting>
  <conditionalFormatting sqref="Q9:Q25">
    <cfRule type="cellIs" dxfId="221" priority="271" stopIfTrue="1" operator="equal">
      <formula>IF(AND(OR(#REF!="W",#REF!="Q",#REF!="J"),$J9&lt;150),100)</formula>
    </cfRule>
  </conditionalFormatting>
  <conditionalFormatting sqref="Q9:Q25">
    <cfRule type="cellIs" dxfId="220" priority="270" stopIfTrue="1" operator="equal">
      <formula>"B1"</formula>
    </cfRule>
  </conditionalFormatting>
  <conditionalFormatting sqref="Q9:Q25">
    <cfRule type="cellIs" dxfId="219" priority="269" stopIfTrue="1" operator="equal">
      <formula>"B1"</formula>
    </cfRule>
  </conditionalFormatting>
  <conditionalFormatting sqref="Q9:Q25">
    <cfRule type="cellIs" dxfId="218" priority="268" stopIfTrue="1" operator="equal">
      <formula>"B1"</formula>
    </cfRule>
  </conditionalFormatting>
  <conditionalFormatting sqref="Q9:Q25">
    <cfRule type="cellIs" dxfId="217" priority="267" stopIfTrue="1" operator="equal">
      <formula>"B1"</formula>
    </cfRule>
  </conditionalFormatting>
  <conditionalFormatting sqref="Q9:Q25">
    <cfRule type="cellIs" dxfId="216" priority="266" stopIfTrue="1" operator="equal">
      <formula>"B1"</formula>
    </cfRule>
  </conditionalFormatting>
  <conditionalFormatting sqref="Q9:Q25">
    <cfRule type="cellIs" dxfId="215" priority="265" stopIfTrue="1" operator="equal">
      <formula>"B1"</formula>
    </cfRule>
  </conditionalFormatting>
  <conditionalFormatting sqref="Q9:Q25">
    <cfRule type="cellIs" dxfId="214" priority="264" stopIfTrue="1" operator="equal">
      <formula>"B1"</formula>
    </cfRule>
  </conditionalFormatting>
  <conditionalFormatting sqref="Q9:Q25">
    <cfRule type="cellIs" dxfId="213" priority="263" stopIfTrue="1" operator="equal">
      <formula>"B1"</formula>
    </cfRule>
  </conditionalFormatting>
  <conditionalFormatting sqref="Q9:Q25">
    <cfRule type="cellIs" dxfId="212" priority="262" stopIfTrue="1" operator="equal">
      <formula>IF(AND(OR(#REF!="W",#REF!="Q",#REF!="J"),$J9&lt;150),100)</formula>
    </cfRule>
  </conditionalFormatting>
  <conditionalFormatting sqref="Q9:Q25">
    <cfRule type="cellIs" dxfId="211" priority="261" stopIfTrue="1" operator="equal">
      <formula>"B1"</formula>
    </cfRule>
  </conditionalFormatting>
  <conditionalFormatting sqref="Q9:Q25">
    <cfRule type="cellIs" dxfId="210" priority="260" stopIfTrue="1" operator="equal">
      <formula>"B1"</formula>
    </cfRule>
  </conditionalFormatting>
  <conditionalFormatting sqref="Q9:Q25">
    <cfRule type="cellIs" dxfId="209" priority="259" stopIfTrue="1" operator="equal">
      <formula>"B1"</formula>
    </cfRule>
  </conditionalFormatting>
  <conditionalFormatting sqref="Q9:Q25">
    <cfRule type="cellIs" dxfId="208" priority="258" stopIfTrue="1" operator="equal">
      <formula>"B1"</formula>
    </cfRule>
  </conditionalFormatting>
  <conditionalFormatting sqref="Q9:Q25">
    <cfRule type="cellIs" dxfId="207" priority="257" stopIfTrue="1" operator="equal">
      <formula>"B1"</formula>
    </cfRule>
  </conditionalFormatting>
  <conditionalFormatting sqref="Q9:Q25">
    <cfRule type="cellIs" dxfId="206" priority="256" stopIfTrue="1" operator="equal">
      <formula>"B1"</formula>
    </cfRule>
  </conditionalFormatting>
  <conditionalFormatting sqref="Q9:Q25">
    <cfRule type="cellIs" dxfId="205" priority="255" stopIfTrue="1" operator="equal">
      <formula>"B1"</formula>
    </cfRule>
  </conditionalFormatting>
  <conditionalFormatting sqref="Q9:Q25">
    <cfRule type="cellIs" dxfId="204" priority="254" stopIfTrue="1" operator="equal">
      <formula>"B1"</formula>
    </cfRule>
  </conditionalFormatting>
  <conditionalFormatting sqref="Q9:Q25">
    <cfRule type="cellIs" dxfId="203" priority="253" stopIfTrue="1" operator="equal">
      <formula>IF(AND(OR(#REF!="W",#REF!="Q",#REF!="J"),$J9&lt;150),100)</formula>
    </cfRule>
  </conditionalFormatting>
  <conditionalFormatting sqref="Q9:Q25">
    <cfRule type="cellIs" dxfId="202" priority="252" stopIfTrue="1" operator="equal">
      <formula>"B1"</formula>
    </cfRule>
  </conditionalFormatting>
  <conditionalFormatting sqref="Q9:Q25">
    <cfRule type="cellIs" dxfId="201" priority="251" stopIfTrue="1" operator="equal">
      <formula>"B1"</formula>
    </cfRule>
  </conditionalFormatting>
  <conditionalFormatting sqref="Q9:Q25">
    <cfRule type="cellIs" dxfId="200" priority="250" stopIfTrue="1" operator="equal">
      <formula>"B1"</formula>
    </cfRule>
  </conditionalFormatting>
  <conditionalFormatting sqref="Q9:Q25">
    <cfRule type="cellIs" dxfId="199" priority="249" stopIfTrue="1" operator="equal">
      <formula>"B1"</formula>
    </cfRule>
  </conditionalFormatting>
  <conditionalFormatting sqref="Q9:Q25">
    <cfRule type="cellIs" dxfId="198" priority="248" stopIfTrue="1" operator="equal">
      <formula>"B1"</formula>
    </cfRule>
  </conditionalFormatting>
  <conditionalFormatting sqref="Q9:Q25">
    <cfRule type="cellIs" dxfId="197" priority="247" stopIfTrue="1" operator="equal">
      <formula>"B1"</formula>
    </cfRule>
  </conditionalFormatting>
  <conditionalFormatting sqref="Q9:Q25">
    <cfRule type="cellIs" dxfId="196" priority="246" stopIfTrue="1" operator="equal">
      <formula>"B1"</formula>
    </cfRule>
  </conditionalFormatting>
  <conditionalFormatting sqref="Q9:Q25">
    <cfRule type="cellIs" dxfId="195" priority="245" stopIfTrue="1" operator="equal">
      <formula>"B1"</formula>
    </cfRule>
  </conditionalFormatting>
  <conditionalFormatting sqref="Q9:Q25">
    <cfRule type="cellIs" dxfId="194" priority="244" stopIfTrue="1" operator="equal">
      <formula>IF(AND(OR(#REF!="W",#REF!="Q",#REF!="J"),$J9&lt;150),100)</formula>
    </cfRule>
  </conditionalFormatting>
  <conditionalFormatting sqref="Q9:Q25">
    <cfRule type="cellIs" dxfId="193" priority="243" stopIfTrue="1" operator="equal">
      <formula>"B1"</formula>
    </cfRule>
  </conditionalFormatting>
  <conditionalFormatting sqref="Q9:Q25">
    <cfRule type="cellIs" dxfId="192" priority="242" stopIfTrue="1" operator="equal">
      <formula>"B1"</formula>
    </cfRule>
  </conditionalFormatting>
  <conditionalFormatting sqref="Q9:Q25">
    <cfRule type="cellIs" dxfId="191" priority="241" stopIfTrue="1" operator="equal">
      <formula>"B1"</formula>
    </cfRule>
  </conditionalFormatting>
  <conditionalFormatting sqref="Q9:Q25">
    <cfRule type="cellIs" dxfId="190" priority="240" stopIfTrue="1" operator="equal">
      <formula>"B1"</formula>
    </cfRule>
  </conditionalFormatting>
  <conditionalFormatting sqref="Q9:Q25">
    <cfRule type="cellIs" dxfId="189" priority="239" stopIfTrue="1" operator="equal">
      <formula>"B1"</formula>
    </cfRule>
  </conditionalFormatting>
  <conditionalFormatting sqref="Q9:Q25">
    <cfRule type="cellIs" dxfId="188" priority="238" stopIfTrue="1" operator="equal">
      <formula>"B1"</formula>
    </cfRule>
  </conditionalFormatting>
  <conditionalFormatting sqref="Q9:Q25">
    <cfRule type="cellIs" dxfId="187" priority="237" stopIfTrue="1" operator="equal">
      <formula>"B1"</formula>
    </cfRule>
  </conditionalFormatting>
  <conditionalFormatting sqref="Q9:Q25">
    <cfRule type="cellIs" dxfId="186" priority="236" stopIfTrue="1" operator="equal">
      <formula>"B1"</formula>
    </cfRule>
  </conditionalFormatting>
  <conditionalFormatting sqref="Q9:Q25">
    <cfRule type="cellIs" dxfId="185" priority="235" stopIfTrue="1" operator="equal">
      <formula>IF(AND(OR(#REF!="W",#REF!="Q",#REF!="J"),$J9&lt;150),100)</formula>
    </cfRule>
  </conditionalFormatting>
  <conditionalFormatting sqref="Q9:Q25">
    <cfRule type="cellIs" dxfId="184" priority="234" stopIfTrue="1" operator="equal">
      <formula>"B1"</formula>
    </cfRule>
  </conditionalFormatting>
  <conditionalFormatting sqref="Q9:Q25">
    <cfRule type="cellIs" dxfId="183" priority="233" stopIfTrue="1" operator="equal">
      <formula>"B1"</formula>
    </cfRule>
  </conditionalFormatting>
  <conditionalFormatting sqref="Q9:Q25">
    <cfRule type="cellIs" dxfId="182" priority="232" stopIfTrue="1" operator="equal">
      <formula>"B1"</formula>
    </cfRule>
  </conditionalFormatting>
  <conditionalFormatting sqref="Q9:Q25">
    <cfRule type="cellIs" dxfId="181" priority="231" stopIfTrue="1" operator="equal">
      <formula>"B1"</formula>
    </cfRule>
  </conditionalFormatting>
  <conditionalFormatting sqref="Q9:Q25">
    <cfRule type="cellIs" dxfId="180" priority="230" stopIfTrue="1" operator="equal">
      <formula>"B1"</formula>
    </cfRule>
  </conditionalFormatting>
  <conditionalFormatting sqref="Q9:Q25">
    <cfRule type="cellIs" dxfId="179" priority="229" stopIfTrue="1" operator="equal">
      <formula>"B1"</formula>
    </cfRule>
  </conditionalFormatting>
  <conditionalFormatting sqref="Q9:Q25">
    <cfRule type="cellIs" dxfId="178" priority="228" stopIfTrue="1" operator="equal">
      <formula>"B1"</formula>
    </cfRule>
  </conditionalFormatting>
  <conditionalFormatting sqref="Q9:Q25">
    <cfRule type="cellIs" dxfId="177" priority="227" stopIfTrue="1" operator="equal">
      <formula>"B1"</formula>
    </cfRule>
  </conditionalFormatting>
  <conditionalFormatting sqref="Q9:Q25">
    <cfRule type="cellIs" dxfId="176" priority="226" stopIfTrue="1" operator="equal">
      <formula>IF(AND(OR(#REF!="W",#REF!="Q",#REF!="J"),$J9&lt;150),100)</formula>
    </cfRule>
  </conditionalFormatting>
  <conditionalFormatting sqref="Q9:Q25">
    <cfRule type="cellIs" dxfId="175" priority="225" stopIfTrue="1" operator="equal">
      <formula>"B1"</formula>
    </cfRule>
  </conditionalFormatting>
  <conditionalFormatting sqref="Q9:Q25">
    <cfRule type="cellIs" dxfId="174" priority="224" stopIfTrue="1" operator="equal">
      <formula>"B1"</formula>
    </cfRule>
  </conditionalFormatting>
  <conditionalFormatting sqref="Q9:Q25">
    <cfRule type="cellIs" dxfId="173" priority="223" stopIfTrue="1" operator="equal">
      <formula>"B1"</formula>
    </cfRule>
  </conditionalFormatting>
  <conditionalFormatting sqref="Q9:Q25">
    <cfRule type="cellIs" dxfId="172" priority="222" stopIfTrue="1" operator="equal">
      <formula>"B1"</formula>
    </cfRule>
  </conditionalFormatting>
  <conditionalFormatting sqref="Q9:Q25">
    <cfRule type="cellIs" dxfId="171" priority="221" stopIfTrue="1" operator="equal">
      <formula>"B1"</formula>
    </cfRule>
  </conditionalFormatting>
  <conditionalFormatting sqref="Q9:Q25">
    <cfRule type="cellIs" dxfId="170" priority="220" stopIfTrue="1" operator="equal">
      <formula>"B1"</formula>
    </cfRule>
  </conditionalFormatting>
  <conditionalFormatting sqref="Q9:Q25">
    <cfRule type="cellIs" dxfId="169" priority="219" stopIfTrue="1" operator="equal">
      <formula>"B1"</formula>
    </cfRule>
  </conditionalFormatting>
  <conditionalFormatting sqref="Q9:Q25">
    <cfRule type="cellIs" dxfId="168" priority="218" stopIfTrue="1" operator="equal">
      <formula>"B1"</formula>
    </cfRule>
  </conditionalFormatting>
  <conditionalFormatting sqref="Q9:Q25">
    <cfRule type="cellIs" dxfId="167" priority="217" stopIfTrue="1" operator="equal">
      <formula>IF(AND(OR(#REF!="W",#REF!="Q",#REF!="J"),$J9&lt;150),100)</formula>
    </cfRule>
  </conditionalFormatting>
  <conditionalFormatting sqref="Q9:Q25">
    <cfRule type="cellIs" dxfId="166" priority="216" stopIfTrue="1" operator="equal">
      <formula>"B1"</formula>
    </cfRule>
  </conditionalFormatting>
  <conditionalFormatting sqref="Q9:Q25">
    <cfRule type="cellIs" dxfId="165" priority="215" stopIfTrue="1" operator="equal">
      <formula>"B1"</formula>
    </cfRule>
  </conditionalFormatting>
  <conditionalFormatting sqref="Q9:Q25">
    <cfRule type="cellIs" dxfId="164" priority="214" stopIfTrue="1" operator="equal">
      <formula>"B1"</formula>
    </cfRule>
  </conditionalFormatting>
  <conditionalFormatting sqref="Q9:Q25">
    <cfRule type="cellIs" dxfId="163" priority="213" stopIfTrue="1" operator="equal">
      <formula>"B1"</formula>
    </cfRule>
  </conditionalFormatting>
  <conditionalFormatting sqref="Q9:Q25">
    <cfRule type="cellIs" dxfId="162" priority="212" stopIfTrue="1" operator="equal">
      <formula>"B1"</formula>
    </cfRule>
  </conditionalFormatting>
  <conditionalFormatting sqref="Q9:Q25">
    <cfRule type="cellIs" dxfId="161" priority="211" stopIfTrue="1" operator="equal">
      <formula>"B1"</formula>
    </cfRule>
  </conditionalFormatting>
  <conditionalFormatting sqref="Q9:Q25">
    <cfRule type="cellIs" dxfId="160" priority="210" stopIfTrue="1" operator="equal">
      <formula>"B1"</formula>
    </cfRule>
  </conditionalFormatting>
  <conditionalFormatting sqref="Q9:Q25">
    <cfRule type="cellIs" dxfId="159" priority="209" stopIfTrue="1" operator="equal">
      <formula>"B1"</formula>
    </cfRule>
  </conditionalFormatting>
  <conditionalFormatting sqref="Q9:Q25">
    <cfRule type="cellIs" dxfId="158" priority="208" stopIfTrue="1" operator="equal">
      <formula>IF(AND(OR(#REF!="W",#REF!="Q",#REF!="J"),$J9&lt;150),100)</formula>
    </cfRule>
  </conditionalFormatting>
  <conditionalFormatting sqref="Q9:Q25">
    <cfRule type="cellIs" dxfId="157" priority="207" stopIfTrue="1" operator="equal">
      <formula>"B1"</formula>
    </cfRule>
  </conditionalFormatting>
  <conditionalFormatting sqref="Q9:Q25">
    <cfRule type="cellIs" dxfId="156" priority="206" stopIfTrue="1" operator="equal">
      <formula>"B1"</formula>
    </cfRule>
  </conditionalFormatting>
  <conditionalFormatting sqref="Q9:Q25">
    <cfRule type="cellIs" dxfId="155" priority="205" stopIfTrue="1" operator="equal">
      <formula>"B1"</formula>
    </cfRule>
  </conditionalFormatting>
  <conditionalFormatting sqref="Q9:Q25">
    <cfRule type="cellIs" dxfId="154" priority="204" stopIfTrue="1" operator="equal">
      <formula>"B1"</formula>
    </cfRule>
  </conditionalFormatting>
  <conditionalFormatting sqref="Q9:Q25">
    <cfRule type="cellIs" dxfId="153" priority="203" stopIfTrue="1" operator="equal">
      <formula>"B1"</formula>
    </cfRule>
  </conditionalFormatting>
  <conditionalFormatting sqref="Q9:Q25">
    <cfRule type="cellIs" dxfId="152" priority="202" stopIfTrue="1" operator="equal">
      <formula>"B1"</formula>
    </cfRule>
  </conditionalFormatting>
  <conditionalFormatting sqref="Q9:Q25">
    <cfRule type="cellIs" dxfId="151" priority="201" stopIfTrue="1" operator="equal">
      <formula>"B1"</formula>
    </cfRule>
  </conditionalFormatting>
  <conditionalFormatting sqref="Q9:Q25">
    <cfRule type="cellIs" dxfId="150" priority="200" stopIfTrue="1" operator="equal">
      <formula>"B1"</formula>
    </cfRule>
  </conditionalFormatting>
  <conditionalFormatting sqref="Q9:Q25">
    <cfRule type="cellIs" dxfId="149" priority="199" stopIfTrue="1" operator="equal">
      <formula>IF(AND(OR(#REF!="W",#REF!="Q",#REF!="J"),$J9&lt;150),100)</formula>
    </cfRule>
  </conditionalFormatting>
  <conditionalFormatting sqref="Q9:Q25">
    <cfRule type="cellIs" dxfId="148" priority="198" stopIfTrue="1" operator="equal">
      <formula>"B1"</formula>
    </cfRule>
  </conditionalFormatting>
  <conditionalFormatting sqref="Q9:Q25">
    <cfRule type="cellIs" dxfId="147" priority="197" stopIfTrue="1" operator="equal">
      <formula>"B1"</formula>
    </cfRule>
  </conditionalFormatting>
  <conditionalFormatting sqref="Q9:Q25">
    <cfRule type="cellIs" dxfId="146" priority="196" stopIfTrue="1" operator="equal">
      <formula>"B1"</formula>
    </cfRule>
  </conditionalFormatting>
  <conditionalFormatting sqref="Q9:Q25">
    <cfRule type="cellIs" dxfId="145" priority="195" stopIfTrue="1" operator="equal">
      <formula>"B1"</formula>
    </cfRule>
  </conditionalFormatting>
  <conditionalFormatting sqref="Q9:Q25">
    <cfRule type="cellIs" dxfId="144" priority="194" stopIfTrue="1" operator="equal">
      <formula>"B1"</formula>
    </cfRule>
  </conditionalFormatting>
  <conditionalFormatting sqref="Q9:Q25">
    <cfRule type="cellIs" dxfId="143" priority="193" stopIfTrue="1" operator="equal">
      <formula>"B1"</formula>
    </cfRule>
  </conditionalFormatting>
  <conditionalFormatting sqref="Q9:Q25">
    <cfRule type="cellIs" dxfId="142" priority="192" stopIfTrue="1" operator="equal">
      <formula>"B1"</formula>
    </cfRule>
  </conditionalFormatting>
  <conditionalFormatting sqref="Q9:Q25">
    <cfRule type="cellIs" dxfId="141" priority="191" stopIfTrue="1" operator="equal">
      <formula>"B1"</formula>
    </cfRule>
  </conditionalFormatting>
  <conditionalFormatting sqref="Q9:Q25">
    <cfRule type="cellIs" dxfId="140" priority="190" stopIfTrue="1" operator="equal">
      <formula>IF(AND(OR(#REF!="W",#REF!="Q",#REF!="J"),$J9&lt;150),100)</formula>
    </cfRule>
  </conditionalFormatting>
  <conditionalFormatting sqref="Q9:Q25">
    <cfRule type="cellIs" dxfId="139" priority="189" stopIfTrue="1" operator="equal">
      <formula>"B1"</formula>
    </cfRule>
  </conditionalFormatting>
  <conditionalFormatting sqref="Q9:Q25">
    <cfRule type="cellIs" dxfId="138" priority="188" stopIfTrue="1" operator="equal">
      <formula>"B1"</formula>
    </cfRule>
  </conditionalFormatting>
  <conditionalFormatting sqref="Q9:Q25">
    <cfRule type="cellIs" dxfId="137" priority="187" stopIfTrue="1" operator="equal">
      <formula>"B1"</formula>
    </cfRule>
  </conditionalFormatting>
  <conditionalFormatting sqref="Q9:Q25">
    <cfRule type="cellIs" dxfId="136" priority="186" stopIfTrue="1" operator="equal">
      <formula>"B1"</formula>
    </cfRule>
  </conditionalFormatting>
  <conditionalFormatting sqref="Q9:Q25">
    <cfRule type="cellIs" dxfId="135" priority="185" stopIfTrue="1" operator="equal">
      <formula>"B1"</formula>
    </cfRule>
  </conditionalFormatting>
  <conditionalFormatting sqref="Q9:Q25">
    <cfRule type="cellIs" dxfId="134" priority="184" stopIfTrue="1" operator="equal">
      <formula>"B1"</formula>
    </cfRule>
  </conditionalFormatting>
  <conditionalFormatting sqref="Q9:Q25">
    <cfRule type="cellIs" dxfId="133" priority="183" stopIfTrue="1" operator="equal">
      <formula>"B1"</formula>
    </cfRule>
  </conditionalFormatting>
  <conditionalFormatting sqref="Q9:Q25">
    <cfRule type="cellIs" dxfId="132" priority="182" stopIfTrue="1" operator="equal">
      <formula>"B1"</formula>
    </cfRule>
  </conditionalFormatting>
  <conditionalFormatting sqref="Q9:Q25">
    <cfRule type="cellIs" dxfId="131" priority="181" stopIfTrue="1" operator="equal">
      <formula>IF(AND(OR(#REF!="W",#REF!="Q",#REF!="J"),$J9&lt;150),100)</formula>
    </cfRule>
  </conditionalFormatting>
  <conditionalFormatting sqref="Q9:Q25">
    <cfRule type="cellIs" dxfId="130" priority="180" stopIfTrue="1" operator="equal">
      <formula>"B1"</formula>
    </cfRule>
  </conditionalFormatting>
  <conditionalFormatting sqref="Q9:Q25">
    <cfRule type="cellIs" dxfId="129" priority="179" stopIfTrue="1" operator="equal">
      <formula>"B1"</formula>
    </cfRule>
  </conditionalFormatting>
  <conditionalFormatting sqref="Q9:Q25">
    <cfRule type="cellIs" dxfId="128" priority="178" stopIfTrue="1" operator="equal">
      <formula>"B1"</formula>
    </cfRule>
  </conditionalFormatting>
  <conditionalFormatting sqref="Q9:Q25">
    <cfRule type="cellIs" dxfId="127" priority="177" stopIfTrue="1" operator="equal">
      <formula>"B1"</formula>
    </cfRule>
  </conditionalFormatting>
  <conditionalFormatting sqref="Q9:Q25">
    <cfRule type="cellIs" dxfId="126" priority="176" stopIfTrue="1" operator="equal">
      <formula>"B1"</formula>
    </cfRule>
  </conditionalFormatting>
  <conditionalFormatting sqref="Q9:Q25">
    <cfRule type="cellIs" dxfId="125" priority="175" stopIfTrue="1" operator="equal">
      <formula>"B1"</formula>
    </cfRule>
  </conditionalFormatting>
  <conditionalFormatting sqref="Q9:Q25">
    <cfRule type="cellIs" dxfId="124" priority="174" stopIfTrue="1" operator="equal">
      <formula>"B1"</formula>
    </cfRule>
  </conditionalFormatting>
  <conditionalFormatting sqref="Q9:Q25">
    <cfRule type="cellIs" dxfId="123" priority="173" stopIfTrue="1" operator="equal">
      <formula>"B1"</formula>
    </cfRule>
  </conditionalFormatting>
  <conditionalFormatting sqref="Q9:Q25">
    <cfRule type="cellIs" dxfId="122" priority="172" stopIfTrue="1" operator="equal">
      <formula>IF(AND(OR(#REF!="W",#REF!="Q",#REF!="J"),$J9&lt;150),100)</formula>
    </cfRule>
  </conditionalFormatting>
  <conditionalFormatting sqref="Q9:Q25">
    <cfRule type="cellIs" dxfId="121" priority="171" stopIfTrue="1" operator="equal">
      <formula>"B1"</formula>
    </cfRule>
  </conditionalFormatting>
  <conditionalFormatting sqref="Q9:Q25">
    <cfRule type="cellIs" dxfId="120" priority="170" stopIfTrue="1" operator="equal">
      <formula>"B1"</formula>
    </cfRule>
  </conditionalFormatting>
  <conditionalFormatting sqref="Q9:Q25">
    <cfRule type="cellIs" dxfId="119" priority="169" stopIfTrue="1" operator="equal">
      <formula>"B1"</formula>
    </cfRule>
  </conditionalFormatting>
  <conditionalFormatting sqref="Q9:Q25">
    <cfRule type="cellIs" dxfId="118" priority="168" stopIfTrue="1" operator="equal">
      <formula>"B1"</formula>
    </cfRule>
  </conditionalFormatting>
  <conditionalFormatting sqref="Q9:Q25">
    <cfRule type="cellIs" dxfId="117" priority="167" stopIfTrue="1" operator="equal">
      <formula>"B1"</formula>
    </cfRule>
  </conditionalFormatting>
  <conditionalFormatting sqref="Q9:Q25">
    <cfRule type="cellIs" dxfId="116" priority="166" stopIfTrue="1" operator="equal">
      <formula>"B1"</formula>
    </cfRule>
  </conditionalFormatting>
  <conditionalFormatting sqref="Q9:Q25">
    <cfRule type="cellIs" dxfId="115" priority="165" stopIfTrue="1" operator="equal">
      <formula>"B1"</formula>
    </cfRule>
  </conditionalFormatting>
  <conditionalFormatting sqref="Q9:Q25">
    <cfRule type="cellIs" dxfId="114" priority="164" stopIfTrue="1" operator="equal">
      <formula>"B1"</formula>
    </cfRule>
  </conditionalFormatting>
  <conditionalFormatting sqref="Q9:Q25">
    <cfRule type="cellIs" dxfId="113" priority="163" stopIfTrue="1" operator="equal">
      <formula>IF(AND(OR(#REF!="W",#REF!="Q",#REF!="J"),$J9&lt;150),100)</formula>
    </cfRule>
  </conditionalFormatting>
  <conditionalFormatting sqref="Q9:Q25">
    <cfRule type="cellIs" dxfId="112" priority="162" stopIfTrue="1" operator="equal">
      <formula>"B1"</formula>
    </cfRule>
  </conditionalFormatting>
  <conditionalFormatting sqref="Q9:Q25">
    <cfRule type="cellIs" dxfId="111" priority="161" stopIfTrue="1" operator="equal">
      <formula>"B1"</formula>
    </cfRule>
  </conditionalFormatting>
  <conditionalFormatting sqref="Q9:Q25">
    <cfRule type="cellIs" dxfId="110" priority="160" stopIfTrue="1" operator="equal">
      <formula>"B1"</formula>
    </cfRule>
  </conditionalFormatting>
  <conditionalFormatting sqref="Q9:Q25">
    <cfRule type="cellIs" dxfId="109" priority="159" stopIfTrue="1" operator="equal">
      <formula>"B1"</formula>
    </cfRule>
  </conditionalFormatting>
  <conditionalFormatting sqref="Q9:Q25">
    <cfRule type="cellIs" dxfId="108" priority="158" stopIfTrue="1" operator="equal">
      <formula>"B1"</formula>
    </cfRule>
  </conditionalFormatting>
  <conditionalFormatting sqref="Q9:Q25">
    <cfRule type="cellIs" dxfId="107" priority="157" stopIfTrue="1" operator="equal">
      <formula>"B1"</formula>
    </cfRule>
  </conditionalFormatting>
  <conditionalFormatting sqref="Q9:Q25">
    <cfRule type="cellIs" dxfId="106" priority="156" stopIfTrue="1" operator="equal">
      <formula>"B1"</formula>
    </cfRule>
  </conditionalFormatting>
  <conditionalFormatting sqref="Q9:Q25">
    <cfRule type="cellIs" dxfId="105" priority="155" stopIfTrue="1" operator="equal">
      <formula>"B1"</formula>
    </cfRule>
  </conditionalFormatting>
  <conditionalFormatting sqref="Q9:Q25">
    <cfRule type="cellIs" dxfId="104" priority="154" stopIfTrue="1" operator="equal">
      <formula>IF(AND(OR(#REF!="W",#REF!="Q",#REF!="J"),$J9&lt;150),100)</formula>
    </cfRule>
  </conditionalFormatting>
  <conditionalFormatting sqref="Q9:Q25">
    <cfRule type="cellIs" dxfId="103" priority="153" stopIfTrue="1" operator="equal">
      <formula>"B1"</formula>
    </cfRule>
  </conditionalFormatting>
  <conditionalFormatting sqref="Q9:Q25">
    <cfRule type="cellIs" dxfId="102" priority="152" stopIfTrue="1" operator="equal">
      <formula>"B1"</formula>
    </cfRule>
  </conditionalFormatting>
  <conditionalFormatting sqref="Q9:Q25">
    <cfRule type="cellIs" dxfId="101" priority="151" stopIfTrue="1" operator="equal">
      <formula>"B1"</formula>
    </cfRule>
  </conditionalFormatting>
  <conditionalFormatting sqref="Q9:Q25">
    <cfRule type="cellIs" dxfId="100" priority="150" stopIfTrue="1" operator="equal">
      <formula>"B1"</formula>
    </cfRule>
  </conditionalFormatting>
  <conditionalFormatting sqref="Q9:Q25">
    <cfRule type="cellIs" dxfId="99" priority="149" stopIfTrue="1" operator="equal">
      <formula>"B1"</formula>
    </cfRule>
  </conditionalFormatting>
  <conditionalFormatting sqref="Q9:Q25">
    <cfRule type="cellIs" dxfId="98" priority="148" stopIfTrue="1" operator="equal">
      <formula>"B1"</formula>
    </cfRule>
  </conditionalFormatting>
  <conditionalFormatting sqref="Q9:Q25">
    <cfRule type="cellIs" dxfId="97" priority="147" stopIfTrue="1" operator="equal">
      <formula>"B1"</formula>
    </cfRule>
  </conditionalFormatting>
  <conditionalFormatting sqref="Q9:Q25">
    <cfRule type="cellIs" dxfId="96" priority="146" stopIfTrue="1" operator="equal">
      <formula>"B1"</formula>
    </cfRule>
  </conditionalFormatting>
  <conditionalFormatting sqref="Q9:Q25">
    <cfRule type="cellIs" dxfId="95" priority="145" stopIfTrue="1" operator="equal">
      <formula>IF(AND(OR(#REF!="W",#REF!="Q",#REF!="J"),$J9&lt;150),100)</formula>
    </cfRule>
  </conditionalFormatting>
  <conditionalFormatting sqref="Q9:Q25">
    <cfRule type="cellIs" dxfId="94" priority="144" stopIfTrue="1" operator="equal">
      <formula>"B1"</formula>
    </cfRule>
  </conditionalFormatting>
  <conditionalFormatting sqref="Q9:Q25">
    <cfRule type="cellIs" dxfId="93" priority="143" stopIfTrue="1" operator="equal">
      <formula>"B1"</formula>
    </cfRule>
  </conditionalFormatting>
  <conditionalFormatting sqref="Q9:Q25">
    <cfRule type="cellIs" dxfId="92" priority="142" stopIfTrue="1" operator="equal">
      <formula>"B1"</formula>
    </cfRule>
  </conditionalFormatting>
  <conditionalFormatting sqref="Q9:Q25">
    <cfRule type="cellIs" dxfId="91" priority="141" stopIfTrue="1" operator="equal">
      <formula>"B1"</formula>
    </cfRule>
  </conditionalFormatting>
  <conditionalFormatting sqref="Q9:Q25">
    <cfRule type="cellIs" dxfId="90" priority="140" stopIfTrue="1" operator="equal">
      <formula>"B1"</formula>
    </cfRule>
  </conditionalFormatting>
  <conditionalFormatting sqref="Q9:Q25">
    <cfRule type="cellIs" dxfId="89" priority="139" stopIfTrue="1" operator="equal">
      <formula>"B1"</formula>
    </cfRule>
  </conditionalFormatting>
  <conditionalFormatting sqref="Q9:Q25">
    <cfRule type="cellIs" dxfId="88" priority="138" stopIfTrue="1" operator="equal">
      <formula>"B1"</formula>
    </cfRule>
  </conditionalFormatting>
  <conditionalFormatting sqref="Q9:Q25">
    <cfRule type="cellIs" dxfId="87" priority="137" stopIfTrue="1" operator="equal">
      <formula>"B1"</formula>
    </cfRule>
  </conditionalFormatting>
  <conditionalFormatting sqref="Q9:Q25">
    <cfRule type="cellIs" dxfId="86" priority="136" stopIfTrue="1" operator="equal">
      <formula>IF(AND(OR(#REF!="W",#REF!="Q",#REF!="J"),$J9&lt;150),100)</formula>
    </cfRule>
  </conditionalFormatting>
  <conditionalFormatting sqref="Q9:Q25">
    <cfRule type="cellIs" dxfId="85" priority="135" stopIfTrue="1" operator="equal">
      <formula>"B1"</formula>
    </cfRule>
  </conditionalFormatting>
  <conditionalFormatting sqref="Q9:Q25">
    <cfRule type="cellIs" dxfId="84" priority="134" stopIfTrue="1" operator="equal">
      <formula>"B1"</formula>
    </cfRule>
  </conditionalFormatting>
  <conditionalFormatting sqref="Q9:Q25">
    <cfRule type="cellIs" dxfId="83" priority="133" stopIfTrue="1" operator="equal">
      <formula>"B1"</formula>
    </cfRule>
  </conditionalFormatting>
  <conditionalFormatting sqref="Q9:Q25">
    <cfRule type="cellIs" dxfId="82" priority="132" stopIfTrue="1" operator="equal">
      <formula>"B1"</formula>
    </cfRule>
  </conditionalFormatting>
  <conditionalFormatting sqref="Q9:Q25">
    <cfRule type="cellIs" dxfId="81" priority="131" stopIfTrue="1" operator="equal">
      <formula>"B1"</formula>
    </cfRule>
  </conditionalFormatting>
  <conditionalFormatting sqref="Q9:Q25">
    <cfRule type="cellIs" dxfId="80" priority="130" stopIfTrue="1" operator="equal">
      <formula>"B1"</formula>
    </cfRule>
  </conditionalFormatting>
  <conditionalFormatting sqref="Q9:Q25">
    <cfRule type="cellIs" dxfId="79" priority="129" stopIfTrue="1" operator="equal">
      <formula>"B1"</formula>
    </cfRule>
  </conditionalFormatting>
  <conditionalFormatting sqref="Q9:Q25">
    <cfRule type="cellIs" dxfId="78" priority="128" stopIfTrue="1" operator="equal">
      <formula>"B1"</formula>
    </cfRule>
  </conditionalFormatting>
  <conditionalFormatting sqref="L9:Q9">
    <cfRule type="cellIs" dxfId="77" priority="1579" stopIfTrue="1" operator="equal">
      <formula>IF(AND(OR(#REF!="W",#REF!="Q",#REF!="J"),$J9&lt;150),100)</formula>
    </cfRule>
  </conditionalFormatting>
  <conditionalFormatting sqref="M9:Q9">
    <cfRule type="cellIs" dxfId="76" priority="1580" stopIfTrue="1" operator="equal">
      <formula>IF(AND(OR(#REF!="W",#REF!="Q",#REF!="J"),$K9&lt;150,$K9&gt;0),100)</formula>
    </cfRule>
  </conditionalFormatting>
  <conditionalFormatting sqref="T9:U9">
    <cfRule type="cellIs" dxfId="75" priority="55" stopIfTrue="1" operator="equal">
      <formula>"L1"</formula>
    </cfRule>
  </conditionalFormatting>
  <conditionalFormatting sqref="T16:U16 T18:U18 T20:U20 T22:U22">
    <cfRule type="cellIs" dxfId="74" priority="1608" stopIfTrue="1" operator="equal">
      <formula>"e"</formula>
    </cfRule>
    <cfRule type="cellIs" dxfId="73" priority="1609" stopIfTrue="1" operator="equal">
      <formula>IF(AND(#REF!="F",#REF!=1,$G16&lt;&gt;"DIA"),($D16-$G16)/2)</formula>
    </cfRule>
  </conditionalFormatting>
  <conditionalFormatting sqref="T16:U16 T18:U18 T20:U20 T22:U22">
    <cfRule type="cellIs" dxfId="72" priority="1612" stopIfTrue="1" operator="equal">
      <formula>IF(AND(#REF!="F",#REF!=1,$G16&lt;&gt;"DIA"),($D16-$G16)/2)</formula>
    </cfRule>
  </conditionalFormatting>
  <conditionalFormatting sqref="V15">
    <cfRule type="cellIs" dxfId="71" priority="51" stopIfTrue="1" operator="equal">
      <formula>IF(AND(OR(#REF!="F",#REF!="V"),$L15=0),"T")</formula>
    </cfRule>
  </conditionalFormatting>
  <conditionalFormatting sqref="V16">
    <cfRule type="cellIs" dxfId="70" priority="49" stopIfTrue="1" operator="equal">
      <formula>IF(AND(OR(#REF!="F",#REF!="V"),$L16=0),"T")</formula>
    </cfRule>
  </conditionalFormatting>
  <conditionalFormatting sqref="W16">
    <cfRule type="cellIs" dxfId="69" priority="46" stopIfTrue="1" operator="equal">
      <formula>IF(AND(OR(#REF!="F",#REF!="V"),$L16=0),"T")</formula>
    </cfRule>
  </conditionalFormatting>
  <conditionalFormatting sqref="X16">
    <cfRule type="cellIs" dxfId="68" priority="43" stopIfTrue="1" operator="equal">
      <formula>IF(AND(OR(#REF!="F",#REF!="V"),$L16=0),"T")</formula>
    </cfRule>
  </conditionalFormatting>
  <conditionalFormatting sqref="V17">
    <cfRule type="cellIs" dxfId="67" priority="41" stopIfTrue="1" operator="equal">
      <formula>IF(AND(OR(#REF!="F",#REF!="V"),$L17=0),"T")</formula>
    </cfRule>
  </conditionalFormatting>
  <conditionalFormatting sqref="W17">
    <cfRule type="cellIs" dxfId="66" priority="38" stopIfTrue="1" operator="equal">
      <formula>IF(AND(OR(#REF!="F",#REF!="V"),$L17=0),"T")</formula>
    </cfRule>
  </conditionalFormatting>
  <conditionalFormatting sqref="X17">
    <cfRule type="cellIs" dxfId="65" priority="35" stopIfTrue="1" operator="equal">
      <formula>IF(AND(OR(#REF!="F",#REF!="V"),$L17=0),"T")</formula>
    </cfRule>
  </conditionalFormatting>
  <conditionalFormatting sqref="V18">
    <cfRule type="cellIs" dxfId="64" priority="33" stopIfTrue="1" operator="equal">
      <formula>IF(AND(OR(#REF!="F",#REF!="V"),$L18=0),"T")</formula>
    </cfRule>
  </conditionalFormatting>
  <conditionalFormatting sqref="W18">
    <cfRule type="cellIs" dxfId="63" priority="30" stopIfTrue="1" operator="equal">
      <formula>IF(AND(OR(#REF!="F",#REF!="V"),$L18=0),"T")</formula>
    </cfRule>
  </conditionalFormatting>
  <conditionalFormatting sqref="X18">
    <cfRule type="cellIs" dxfId="62" priority="27" stopIfTrue="1" operator="equal">
      <formula>IF(AND(OR(#REF!="F",#REF!="V"),$L18=0),"T")</formula>
    </cfRule>
  </conditionalFormatting>
  <conditionalFormatting sqref="V19">
    <cfRule type="cellIs" dxfId="61" priority="25" stopIfTrue="1" operator="equal">
      <formula>IF(AND(OR(#REF!="F",#REF!="V"),$L19=0),"T")</formula>
    </cfRule>
  </conditionalFormatting>
  <conditionalFormatting sqref="V20">
    <cfRule type="cellIs" dxfId="60" priority="23" stopIfTrue="1" operator="equal">
      <formula>IF(AND(OR(#REF!="F",#REF!="V"),$L20=0),"T")</formula>
    </cfRule>
  </conditionalFormatting>
  <conditionalFormatting sqref="V22">
    <cfRule type="cellIs" dxfId="59" priority="21" stopIfTrue="1" operator="equal">
      <formula>IF(AND(OR(#REF!="F",#REF!="V"),$L22=0),"T")</formula>
    </cfRule>
  </conditionalFormatting>
  <conditionalFormatting sqref="V15">
    <cfRule type="cellIs" dxfId="58" priority="20" stopIfTrue="1" operator="equal">
      <formula>IF(AND(OR(#REF!="F",#REF!="V"),$L15=0),"T")</formula>
    </cfRule>
  </conditionalFormatting>
  <conditionalFormatting sqref="V15">
    <cfRule type="cellIs" dxfId="57" priority="18" stopIfTrue="1" operator="equal">
      <formula>IF(AND(OR(#REF!="F",#REF!="V"),$L15=0),"T")</formula>
    </cfRule>
  </conditionalFormatting>
  <conditionalFormatting sqref="V15">
    <cfRule type="cellIs" dxfId="56" priority="17" stopIfTrue="1" operator="equal">
      <formula>IF(AND(OR(#REF!="F",#REF!="V"),$L15=0),"T")</formula>
    </cfRule>
  </conditionalFormatting>
  <conditionalFormatting sqref="V15">
    <cfRule type="cellIs" dxfId="55" priority="15" stopIfTrue="1" operator="equal">
      <formula>IF(AND(OR(#REF!="F",#REF!="V"),$L15=0),"T")</formula>
    </cfRule>
  </conditionalFormatting>
  <conditionalFormatting sqref="V24">
    <cfRule type="cellIs" dxfId="54" priority="14" stopIfTrue="1" operator="equal">
      <formula>IF(AND(OR(#REF!="F",#REF!="V"),$L24=0),"T")</formula>
    </cfRule>
  </conditionalFormatting>
  <conditionalFormatting sqref="V24">
    <cfRule type="cellIs" dxfId="53" priority="12" stopIfTrue="1" operator="equal">
      <formula>IF(AND(OR(#REF!="F",#REF!="V"),$L24=0),"T")</formula>
    </cfRule>
  </conditionalFormatting>
  <conditionalFormatting sqref="V24">
    <cfRule type="cellIs" dxfId="52" priority="10" stopIfTrue="1" operator="equal">
      <formula>IF(AND(OR(#REF!="F",#REF!="V"),$L24=0),"T")</formula>
    </cfRule>
  </conditionalFormatting>
  <conditionalFormatting sqref="V24">
    <cfRule type="cellIs" dxfId="51" priority="9" stopIfTrue="1" operator="equal">
      <formula>IF(AND(OR(#REF!="F",#REF!="V"),$L24=0),"T")</formula>
    </cfRule>
  </conditionalFormatting>
  <conditionalFormatting sqref="V24">
    <cfRule type="cellIs" dxfId="50" priority="7" stopIfTrue="1" operator="equal">
      <formula>IF(AND(OR(#REF!="F",#REF!="V"),$L24=0),"T")</formula>
    </cfRule>
  </conditionalFormatting>
  <conditionalFormatting sqref="V24">
    <cfRule type="cellIs" dxfId="49" priority="6" stopIfTrue="1" operator="equal">
      <formula>IF(AND(OR(#REF!="F",#REF!="V"),$L24=0),"T")</formula>
    </cfRule>
  </conditionalFormatting>
  <conditionalFormatting sqref="V24">
    <cfRule type="cellIs" dxfId="48" priority="4" stopIfTrue="1" operator="equal">
      <formula>IF(AND(OR(#REF!="F",#REF!="V"),$L24=0),"T")</formula>
    </cfRule>
  </conditionalFormatting>
  <conditionalFormatting sqref="V24">
    <cfRule type="cellIs" dxfId="47" priority="3" stopIfTrue="1" operator="equal">
      <formula>IF(AND(OR(#REF!="F",#REF!="V"),$L24=0),"T")</formula>
    </cfRule>
  </conditionalFormatting>
  <conditionalFormatting sqref="V24">
    <cfRule type="cellIs" dxfId="46" priority="1" stopIfTrue="1" operator="equal">
      <formula>IF(AND(OR(#REF!="F",#REF!="V"),$L24=0),"T")</formula>
    </cfRule>
  </conditionalFormatting>
  <conditionalFormatting sqref="M8:N8">
    <cfRule type="cellIs" dxfId="45" priority="1625" stopIfTrue="1" operator="equal">
      <formula>IF(AND(OR(#REF!="W",#REF!="Q",#REF!="J"),$K8&lt;150),100)</formula>
    </cfRule>
  </conditionalFormatting>
  <conditionalFormatting sqref="M8:N8">
    <cfRule type="cellIs" dxfId="44" priority="1626" stopIfTrue="1" operator="equal">
      <formula>IF(AND(OR(#REF!="W",#REF!="Q",#REF!="J"),$K8&lt;150),100)</formula>
    </cfRule>
  </conditionalFormatting>
  <conditionalFormatting sqref="M8:N8">
    <cfRule type="cellIs" dxfId="43" priority="1627" stopIfTrue="1" operator="equal">
      <formula>IF(AND(OR(#REF!="W",#REF!="Q",#REF!="J"),#REF!&lt;150,#REF!&gt;0),100)</formula>
    </cfRule>
  </conditionalFormatting>
  <conditionalFormatting sqref="L10:Q10">
    <cfRule type="cellIs" dxfId="42" priority="1628" stopIfTrue="1" operator="equal">
      <formula>IF(AND(OR(#REF!="W",#REF!="Q",#REF!="J"),$J10&lt;150),100)</formula>
    </cfRule>
  </conditionalFormatting>
  <conditionalFormatting sqref="M10:Q10">
    <cfRule type="cellIs" dxfId="41" priority="1629" stopIfTrue="1" operator="equal">
      <formula>IF(AND(OR(#REF!="W",#REF!="Q",#REF!="J"),$K10&lt;150,$K10&gt;0),100)</formula>
    </cfRule>
  </conditionalFormatting>
  <conditionalFormatting sqref="T24:U24">
    <cfRule type="cellIs" dxfId="40" priority="2240" stopIfTrue="1" operator="equal">
      <formula>"e"</formula>
    </cfRule>
    <cfRule type="cellIs" dxfId="39" priority="2241" stopIfTrue="1" operator="equal">
      <formula>IF(AND($B24="F",#REF!=1,$G24&lt;&gt;"DIA"),($D24-$G24)/2)</formula>
    </cfRule>
  </conditionalFormatting>
  <conditionalFormatting sqref="T24:U24">
    <cfRule type="cellIs" dxfId="38" priority="2242" stopIfTrue="1" operator="equal">
      <formula>IF(AND($B24="F",#REF!=1,$G24&lt;&gt;"DIA"),($D24-$G24)/2)</formula>
    </cfRule>
  </conditionalFormatting>
  <conditionalFormatting sqref="L24">
    <cfRule type="cellIs" dxfId="37" priority="2243" stopIfTrue="1" operator="equal">
      <formula>IF(AND(OR($B24="W",$B24="Q",$B24="J"),$J24&lt;150),100)</formula>
    </cfRule>
  </conditionalFormatting>
  <conditionalFormatting sqref="M24 P24:Q24">
    <cfRule type="cellIs" dxfId="36" priority="2244" stopIfTrue="1" operator="equal">
      <formula>IF(AND(OR($B24="W",$B24="Q",$B24="J"),$K24&lt;150,$K24&gt;0),100)</formula>
    </cfRule>
  </conditionalFormatting>
  <conditionalFormatting sqref="W9 W10:X10 V8:V24 W11:W13 W16:X18">
    <cfRule type="cellIs" dxfId="35" priority="2246" stopIfTrue="1" operator="equal">
      <formula>IF(AND(OR($B8="F",$B8="V"),$L8=0),"T")</formula>
    </cfRule>
  </conditionalFormatting>
  <conditionalFormatting sqref="W14:W15 W19:W24 W8">
    <cfRule type="cellIs" dxfId="34" priority="2249" stopIfTrue="1" operator="equal">
      <formula>IF(AND($B8="V",$M8=0),"T")</formula>
    </cfRule>
  </conditionalFormatting>
  <conditionalFormatting sqref="T15:U15">
    <cfRule type="cellIs" dxfId="33" priority="2252" stopIfTrue="1" operator="equal">
      <formula>"e"</formula>
    </cfRule>
    <cfRule type="cellIs" dxfId="32" priority="2253" stopIfTrue="1" operator="equal">
      <formula>IF(AND($B13="F",#REF!=1,$G15&lt;&gt;"DIA"),($D15-$G15)/2)</formula>
    </cfRule>
  </conditionalFormatting>
  <conditionalFormatting sqref="T15:U15">
    <cfRule type="cellIs" dxfId="31" priority="2254" stopIfTrue="1" operator="equal">
      <formula>IF(AND($B13="F",#REF!=1,$G15&lt;&gt;"DIA"),($D15-$G15)/2)</formula>
    </cfRule>
  </conditionalFormatting>
  <conditionalFormatting sqref="L15">
    <cfRule type="cellIs" dxfId="30" priority="2255" stopIfTrue="1" operator="equal">
      <formula>IF(AND(OR($B13="W",$B13="Q",$B13="J"),$J15&lt;150),100)</formula>
    </cfRule>
  </conditionalFormatting>
  <conditionalFormatting sqref="M15 P15:Q15">
    <cfRule type="cellIs" dxfId="29" priority="2256" stopIfTrue="1" operator="equal">
      <formula>IF(AND(OR($B13="W",$B13="Q",$B13="J"),$K15&lt;150,$K15&gt;0),100)</formula>
    </cfRule>
  </conditionalFormatting>
  <conditionalFormatting sqref="W16:X18 V22 V15:V20 V24">
    <cfRule type="cellIs" dxfId="28" priority="2258" stopIfTrue="1" operator="equal">
      <formula>IF(AND(OR($B13="F",$B13="V"),$L15=0),"T")</formula>
    </cfRule>
  </conditionalFormatting>
  <conditionalFormatting sqref="W15">
    <cfRule type="cellIs" dxfId="27" priority="2259" stopIfTrue="1" operator="equal">
      <formula>IF(AND($B13="V",$M15=0),"T")</formula>
    </cfRule>
  </conditionalFormatting>
  <conditionalFormatting sqref="T17:U17">
    <cfRule type="cellIs" dxfId="26" priority="2260" stopIfTrue="1" operator="equal">
      <formula>"e"</formula>
    </cfRule>
    <cfRule type="cellIs" dxfId="25" priority="2261" stopIfTrue="1" operator="equal">
      <formula>IF(AND($B14="F",#REF!=1,$G17&lt;&gt;"DIA"),($D17-$G17)/2)</formula>
    </cfRule>
  </conditionalFormatting>
  <conditionalFormatting sqref="T17:U17">
    <cfRule type="cellIs" dxfId="24" priority="2262" stopIfTrue="1" operator="equal">
      <formula>IF(AND($B14="F",#REF!=1,$G17&lt;&gt;"DIA"),($D17-$G17)/2)</formula>
    </cfRule>
  </conditionalFormatting>
  <conditionalFormatting sqref="L11:Q25">
    <cfRule type="cellIs" dxfId="23" priority="2263" stopIfTrue="1" operator="equal">
      <formula>IF(AND(OR($B8="W",$B8="Q",$B8="J"),$J11&lt;150),100)</formula>
    </cfRule>
  </conditionalFormatting>
  <conditionalFormatting sqref="M11:Q25">
    <cfRule type="cellIs" dxfId="22" priority="2264" stopIfTrue="1" operator="equal">
      <formula>IF(AND(OR($B8="W",$B8="Q",$B8="J"),$K11&lt;150,$K11&gt;0),100)</formula>
    </cfRule>
  </conditionalFormatting>
  <conditionalFormatting sqref="V17">
    <cfRule type="cellIs" dxfId="21" priority="2265" stopIfTrue="1" operator="equal">
      <formula>IF(AND(OR($B14="F",$B14="V"),$L17=0),"T")</formula>
    </cfRule>
  </conditionalFormatting>
  <conditionalFormatting sqref="T19:U19">
    <cfRule type="cellIs" dxfId="20" priority="2266" stopIfTrue="1" operator="equal">
      <formula>"e"</formula>
    </cfRule>
    <cfRule type="cellIs" dxfId="19" priority="2267" stopIfTrue="1" operator="equal">
      <formula>IF(AND($B15="F",#REF!=1,$G19&lt;&gt;"DIA"),($D19-$G19)/2)</formula>
    </cfRule>
  </conditionalFormatting>
  <conditionalFormatting sqref="T19:U19">
    <cfRule type="cellIs" dxfId="18" priority="2268" stopIfTrue="1" operator="equal">
      <formula>IF(AND($B15="F",#REF!=1,$G19&lt;&gt;"DIA"),($D19-$G19)/2)</formula>
    </cfRule>
  </conditionalFormatting>
  <conditionalFormatting sqref="L19">
    <cfRule type="cellIs" dxfId="17" priority="2269" stopIfTrue="1" operator="equal">
      <formula>IF(AND(OR($B15="W",$B15="Q",$B15="J"),$J19&lt;150),100)</formula>
    </cfRule>
  </conditionalFormatting>
  <conditionalFormatting sqref="M19 P19:Q19">
    <cfRule type="cellIs" dxfId="16" priority="2270" stopIfTrue="1" operator="equal">
      <formula>IF(AND(OR($B15="W",$B15="Q",$B15="J"),$K19&lt;150,$K19&gt;0),100)</formula>
    </cfRule>
  </conditionalFormatting>
  <conditionalFormatting sqref="V19">
    <cfRule type="cellIs" dxfId="15" priority="2272" stopIfTrue="1" operator="equal">
      <formula>IF(AND(OR($B15="F",$B15="V"),$L19=0),"T")</formula>
    </cfRule>
  </conditionalFormatting>
  <conditionalFormatting sqref="W19">
    <cfRule type="cellIs" dxfId="14" priority="2273" stopIfTrue="1" operator="equal">
      <formula>IF(AND($B15="V",$M19=0),"T")</formula>
    </cfRule>
  </conditionalFormatting>
  <conditionalFormatting sqref="T21:U21">
    <cfRule type="cellIs" dxfId="13" priority="2280" stopIfTrue="1" operator="equal">
      <formula>"e"</formula>
    </cfRule>
    <cfRule type="cellIs" dxfId="12" priority="2281" stopIfTrue="1" operator="equal">
      <formula>IF(AND($B16="F",#REF!=1,$G21&lt;&gt;"DIA"),($D21-$G21)/2)</formula>
    </cfRule>
  </conditionalFormatting>
  <conditionalFormatting sqref="T21:U21">
    <cfRule type="cellIs" dxfId="11" priority="2285" stopIfTrue="1" operator="equal">
      <formula>IF(AND($B16="F",#REF!=1,$G21&lt;&gt;"DIA"),($D21-$G21)/2)</formula>
    </cfRule>
  </conditionalFormatting>
  <conditionalFormatting sqref="L21">
    <cfRule type="cellIs" dxfId="10" priority="2286" stopIfTrue="1" operator="equal">
      <formula>IF(AND(OR($B16="W",$B16="Q",$B16="J"),$J21&lt;150),100)</formula>
    </cfRule>
  </conditionalFormatting>
  <conditionalFormatting sqref="M21 P21:Q21">
    <cfRule type="cellIs" dxfId="9" priority="2287" stopIfTrue="1" operator="equal">
      <formula>IF(AND(OR($B16="W",$B16="Q",$B16="J"),$K21&lt;150,$K21&gt;0),100)</formula>
    </cfRule>
  </conditionalFormatting>
  <conditionalFormatting sqref="V21">
    <cfRule type="cellIs" dxfId="8" priority="2289" stopIfTrue="1" operator="equal">
      <formula>IF(AND(OR($B16="F",$B16="V"),$L21=0),"T")</formula>
    </cfRule>
  </conditionalFormatting>
  <conditionalFormatting sqref="W21">
    <cfRule type="cellIs" dxfId="7" priority="2290" stopIfTrue="1" operator="equal">
      <formula>IF(AND($B16="V",$M21=0),"T")</formula>
    </cfRule>
  </conditionalFormatting>
  <conditionalFormatting sqref="T23:U23">
    <cfRule type="cellIs" dxfId="6" priority="2291" stopIfTrue="1" operator="equal">
      <formula>"e"</formula>
    </cfRule>
    <cfRule type="cellIs" dxfId="5" priority="2292" stopIfTrue="1" operator="equal">
      <formula>IF(AND($B17="F",#REF!=1,$G23&lt;&gt;"DIA"),($D23-$G23)/2)</formula>
    </cfRule>
  </conditionalFormatting>
  <conditionalFormatting sqref="T23:U23">
    <cfRule type="cellIs" dxfId="4" priority="2293" stopIfTrue="1" operator="equal">
      <formula>IF(AND($B17="F",#REF!=1,$G23&lt;&gt;"DIA"),($D23-$G23)/2)</formula>
    </cfRule>
  </conditionalFormatting>
  <conditionalFormatting sqref="L23">
    <cfRule type="cellIs" dxfId="3" priority="2294" stopIfTrue="1" operator="equal">
      <formula>IF(AND(OR($B17="W",$B17="Q",$B17="J"),$J23&lt;150),100)</formula>
    </cfRule>
  </conditionalFormatting>
  <conditionalFormatting sqref="M23 P23:Q23">
    <cfRule type="cellIs" dxfId="2" priority="2295" stopIfTrue="1" operator="equal">
      <formula>IF(AND(OR($B17="W",$B17="Q",$B17="J"),$K23&lt;150,$K23&gt;0),100)</formula>
    </cfRule>
  </conditionalFormatting>
  <conditionalFormatting sqref="V23">
    <cfRule type="cellIs" dxfId="1" priority="2297" stopIfTrue="1" operator="equal">
      <formula>IF(AND(OR($B17="F",$B17="V"),$L23=0),"T")</formula>
    </cfRule>
  </conditionalFormatting>
  <conditionalFormatting sqref="W23">
    <cfRule type="cellIs" dxfId="0" priority="2298" stopIfTrue="1" operator="equal">
      <formula>IF(AND($B17="V",$M23=0),"T")</formula>
    </cfRule>
  </conditionalFormatting>
  <dataValidations disablePrompts="1" count="5">
    <dataValidation type="list" allowBlank="1" showInputMessage="1" showErrorMessage="1" sqref="V15" xr:uid="{C0DE702C-BE56-46F3-8C41-64D19FFD3723}">
      <formula1>"P25,P35,P25 Los, P35 Los, P20, P30, P20 Los, P30 Los"</formula1>
    </dataValidation>
    <dataValidation type="list" allowBlank="1" showInputMessage="1" showErrorMessage="1" sqref="V22 V24" xr:uid="{C38900FC-6375-45D8-895A-E6815B75A54C}">
      <formula1>"P25,P35,P20,P30,"</formula1>
    </dataValidation>
    <dataValidation type="list" allowBlank="1" showInputMessage="1" showErrorMessage="1" sqref="X10 V9:W13 W16:X18 V14 V16:V20" xr:uid="{3F72AAD5-2A05-4C56-82E4-3CB6FAD1CD84}">
      <formula1>"TDC25,TDC35,P25,P35,P25 Los, P35 Los, P20, P30, P20 Los, P30 Los"</formula1>
    </dataValidation>
    <dataValidation type="list" allowBlank="1" showInputMessage="1" showErrorMessage="1" sqref="B8:C24" xr:uid="{C8FE525F-33DB-45C5-9985-4A1E95759D9A}">
      <formula1>"RH Recht kanaal,RH T-Stuk,RH Bocht,RH Verloop,RH Sprong,RH Aftakking,RH Vierkant-Rond,RH-S Bocht 2x, RH-S Bocht en Verloop, RH-S Bocht + Vierkant-rond, RH Deksel, RH Afgesch. Kanaal, RH Plenum, RH VP Raam, RH Vlakke Plaat, RH Flexibel"</formula1>
    </dataValidation>
    <dataValidation type="list" allowBlank="1" showInputMessage="1" showErrorMessage="1" sqref="B25:C25" xr:uid="{B5DB23BF-7661-46E0-8176-924399D3FC62}">
      <formula1>"RH Recht kanaal,RH T-Stuk,RH Bocht,RH Verloop,RH Sprong,RH Aftakking,RH Vierkant-Rond"</formula1>
    </dataValidation>
  </dataValidations>
  <pageMargins left="0.75" right="0.75" top="1" bottom="1" header="0.5" footer="0.5"/>
  <headerFooter alignWithMargins="0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Blad3"/>
  <dimension ref="A1:D22"/>
  <sheetViews>
    <sheetView workbookViewId="0">
      <selection activeCell="D16" sqref="D16"/>
    </sheetView>
  </sheetViews>
  <sheetFormatPr defaultRowHeight="12.75" x14ac:dyDescent="0.2"/>
  <cols>
    <col min="1" max="1" width="18.85546875" bestFit="1" customWidth="1"/>
    <col min="3" max="4" width="12.42578125" bestFit="1" customWidth="1"/>
  </cols>
  <sheetData>
    <row r="1" spans="1:4" ht="93" customHeight="1" x14ac:dyDescent="0.2"/>
    <row r="2" spans="1:4" ht="15" x14ac:dyDescent="0.2">
      <c r="A2" s="23" t="s">
        <v>1</v>
      </c>
      <c r="B2" s="23" t="s">
        <v>123</v>
      </c>
      <c r="C2" s="85" t="s">
        <v>135</v>
      </c>
      <c r="D2" s="85" t="s">
        <v>136</v>
      </c>
    </row>
    <row r="4" spans="1:4" x14ac:dyDescent="0.2">
      <c r="A4" s="17" t="s">
        <v>134</v>
      </c>
      <c r="C4">
        <v>100</v>
      </c>
    </row>
    <row r="5" spans="1:4" x14ac:dyDescent="0.2">
      <c r="A5" s="17" t="s">
        <v>124</v>
      </c>
      <c r="C5">
        <v>100</v>
      </c>
    </row>
    <row r="6" spans="1:4" x14ac:dyDescent="0.2">
      <c r="A6" s="17" t="s">
        <v>125</v>
      </c>
      <c r="C6">
        <v>100</v>
      </c>
    </row>
    <row r="7" spans="1:4" x14ac:dyDescent="0.2">
      <c r="A7" s="17" t="s">
        <v>126</v>
      </c>
      <c r="C7">
        <v>100</v>
      </c>
    </row>
    <row r="8" spans="1:4" x14ac:dyDescent="0.2">
      <c r="A8" s="17" t="s">
        <v>127</v>
      </c>
      <c r="C8">
        <v>100</v>
      </c>
    </row>
    <row r="9" spans="1:4" x14ac:dyDescent="0.2">
      <c r="A9" s="17" t="s">
        <v>179</v>
      </c>
      <c r="C9">
        <v>100</v>
      </c>
    </row>
    <row r="10" spans="1:4" x14ac:dyDescent="0.2">
      <c r="A10" s="17" t="s">
        <v>128</v>
      </c>
      <c r="C10">
        <v>100</v>
      </c>
    </row>
    <row r="11" spans="1:4" x14ac:dyDescent="0.2">
      <c r="A11" s="17" t="s">
        <v>180</v>
      </c>
      <c r="C11">
        <v>100</v>
      </c>
      <c r="D11">
        <v>100</v>
      </c>
    </row>
    <row r="12" spans="1:4" x14ac:dyDescent="0.2">
      <c r="A12" s="17" t="s">
        <v>181</v>
      </c>
      <c r="C12">
        <v>100</v>
      </c>
      <c r="D12">
        <v>100</v>
      </c>
    </row>
    <row r="13" spans="1:4" x14ac:dyDescent="0.2">
      <c r="A13" s="17" t="s">
        <v>129</v>
      </c>
      <c r="C13">
        <v>100</v>
      </c>
      <c r="D13">
        <v>100</v>
      </c>
    </row>
    <row r="14" spans="1:4" x14ac:dyDescent="0.2">
      <c r="A14" s="17" t="s">
        <v>130</v>
      </c>
      <c r="C14">
        <v>100</v>
      </c>
    </row>
    <row r="15" spans="1:4" x14ac:dyDescent="0.2">
      <c r="A15" s="17" t="s">
        <v>131</v>
      </c>
      <c r="C15">
        <v>100</v>
      </c>
    </row>
    <row r="16" spans="1:4" x14ac:dyDescent="0.2">
      <c r="A16" s="17" t="s">
        <v>132</v>
      </c>
      <c r="C16">
        <v>100</v>
      </c>
    </row>
    <row r="17" spans="1:4" x14ac:dyDescent="0.2">
      <c r="A17" s="17" t="s">
        <v>133</v>
      </c>
      <c r="C17">
        <v>100</v>
      </c>
    </row>
    <row r="18" spans="1:4" x14ac:dyDescent="0.2">
      <c r="A18" s="17" t="s">
        <v>182</v>
      </c>
      <c r="C18">
        <v>100</v>
      </c>
    </row>
    <row r="19" spans="1:4" x14ac:dyDescent="0.2">
      <c r="A19" s="17" t="s">
        <v>183</v>
      </c>
      <c r="C19">
        <v>100</v>
      </c>
      <c r="D19">
        <v>100</v>
      </c>
    </row>
    <row r="21" spans="1:4" x14ac:dyDescent="0.2">
      <c r="D21" s="70" t="s">
        <v>184</v>
      </c>
    </row>
    <row r="22" spans="1:4" x14ac:dyDescent="0.2">
      <c r="D22" s="71"/>
    </row>
  </sheetData>
  <mergeCells count="1">
    <mergeCell ref="D21:D22"/>
  </mergeCells>
  <phoneticPr fontId="2" type="noConversion"/>
  <dataValidations count="3">
    <dataValidation type="list" allowBlank="1" showInputMessage="1" showErrorMessage="1" sqref="C4:C6 C9:C19 D11:D13 D19 D4" xr:uid="{EEC771B7-E7F1-471D-BABA-2547B776615B}">
      <formula1>"100, 125, 160, 200, 250, 315, 355, 400, 450, 500, 560, 630, 710, 800, 900, 1000, 1120, 1250"</formula1>
    </dataValidation>
    <dataValidation type="list" allowBlank="1" showInputMessage="1" showErrorMessage="1" sqref="C7:C8" xr:uid="{2C1EF702-C8C8-4C0B-9A22-783ED233E884}">
      <formula1>"100, 125, 160, 200, 250, 315, 355, 400,"</formula1>
    </dataValidation>
    <dataValidation type="list" allowBlank="1" showInputMessage="1" showErrorMessage="1" sqref="A4:A19" xr:uid="{206B962B-3882-40B3-9639-E0FA8EBE54C0}">
      <mc:AlternateContent xmlns:x12ac="http://schemas.microsoft.com/office/spreadsheetml/2011/1/ac" xmlns:mc="http://schemas.openxmlformats.org/markup-compatibility/2006">
        <mc:Choice Requires="x12ac">
          <x12ac:list>"Spirobuis, lengte 3m.", B45, B90, Spirobocht 45gr, Spirobocht 90gr, Verbinding buis, Verbinding hulpstuk, Verloop sym, Verloop A-sym, Zadel 90gr, Zadel 45gr, Deksel t.b.v. buis, Platte tuit 90gr, Platte tuit 45gr, Regelklep, T-stuk</x12ac:list>
        </mc:Choice>
        <mc:Fallback>
          <formula1>"Spirobuis, lengte 3m., B45, B90, Spirobocht 45gr, Spirobocht 90gr, Verbinding buis, Verbinding hulpstuk, Verloop sym, Verloop A-sym, Zadel 90gr, Zadel 45gr, Deksel t.b.v. buis, Platte tuit 90gr, Platte tuit 45gr, Regelklep, T-stuk"</formula1>
        </mc:Fallback>
      </mc:AlternateContent>
    </dataValidation>
  </dataValidations>
  <pageMargins left="0.75" right="0.75" top="1" bottom="1" header="0.5" footer="0.5"/>
  <headerFooter alignWithMargins="0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EFAD31-DC72-4FBB-970D-BC8AC1A62DA7}">
  <dimension ref="A1:K45"/>
  <sheetViews>
    <sheetView topLeftCell="A10" workbookViewId="0">
      <selection activeCell="B44" sqref="B44"/>
    </sheetView>
  </sheetViews>
  <sheetFormatPr defaultRowHeight="12.75" x14ac:dyDescent="0.2"/>
  <cols>
    <col min="1" max="1" width="29.7109375" bestFit="1" customWidth="1"/>
    <col min="2" max="2" width="21.7109375" customWidth="1"/>
    <col min="3" max="3" width="8.140625" bestFit="1" customWidth="1"/>
    <col min="11" max="11" width="0" hidden="1" customWidth="1"/>
  </cols>
  <sheetData>
    <row r="1" spans="1:11" ht="111.75" customHeight="1" x14ac:dyDescent="0.2"/>
    <row r="2" spans="1:11" ht="24" customHeight="1" x14ac:dyDescent="0.2">
      <c r="A2" s="23" t="s">
        <v>1</v>
      </c>
      <c r="B2" s="23" t="s">
        <v>123</v>
      </c>
      <c r="C2" s="7" t="s">
        <v>170</v>
      </c>
    </row>
    <row r="3" spans="1:11" x14ac:dyDescent="0.2">
      <c r="A3" t="s">
        <v>140</v>
      </c>
      <c r="K3" s="17" t="s">
        <v>140</v>
      </c>
    </row>
    <row r="4" spans="1:11" x14ac:dyDescent="0.2">
      <c r="A4" t="s">
        <v>139</v>
      </c>
      <c r="K4" s="17" t="s">
        <v>139</v>
      </c>
    </row>
    <row r="5" spans="1:11" x14ac:dyDescent="0.2">
      <c r="A5" t="s">
        <v>138</v>
      </c>
      <c r="K5" s="17" t="s">
        <v>138</v>
      </c>
    </row>
    <row r="6" spans="1:11" x14ac:dyDescent="0.2">
      <c r="A6" t="s">
        <v>167</v>
      </c>
      <c r="K6" s="83" t="s">
        <v>167</v>
      </c>
    </row>
    <row r="7" spans="1:11" x14ac:dyDescent="0.2">
      <c r="A7" t="s">
        <v>161</v>
      </c>
      <c r="K7" s="83" t="s">
        <v>161</v>
      </c>
    </row>
    <row r="8" spans="1:11" x14ac:dyDescent="0.2">
      <c r="A8" t="s">
        <v>162</v>
      </c>
      <c r="K8" s="83" t="s">
        <v>162</v>
      </c>
    </row>
    <row r="9" spans="1:11" x14ac:dyDescent="0.2">
      <c r="A9" t="s">
        <v>163</v>
      </c>
      <c r="K9" s="17" t="s">
        <v>163</v>
      </c>
    </row>
    <row r="10" spans="1:11" x14ac:dyDescent="0.2">
      <c r="A10" t="s">
        <v>164</v>
      </c>
      <c r="K10" s="17" t="s">
        <v>164</v>
      </c>
    </row>
    <row r="11" spans="1:11" x14ac:dyDescent="0.2">
      <c r="A11" t="s">
        <v>165</v>
      </c>
      <c r="K11" s="17" t="s">
        <v>165</v>
      </c>
    </row>
    <row r="12" spans="1:11" x14ac:dyDescent="0.2">
      <c r="A12" t="s">
        <v>166</v>
      </c>
      <c r="K12" s="17" t="s">
        <v>166</v>
      </c>
    </row>
    <row r="13" spans="1:11" x14ac:dyDescent="0.2">
      <c r="A13" t="s">
        <v>168</v>
      </c>
      <c r="K13" s="17" t="s">
        <v>168</v>
      </c>
    </row>
    <row r="14" spans="1:11" x14ac:dyDescent="0.2">
      <c r="A14" t="s">
        <v>169</v>
      </c>
      <c r="K14" s="17" t="s">
        <v>169</v>
      </c>
    </row>
    <row r="15" spans="1:11" x14ac:dyDescent="0.2">
      <c r="A15" t="s">
        <v>171</v>
      </c>
      <c r="K15" s="17" t="s">
        <v>171</v>
      </c>
    </row>
    <row r="16" spans="1:11" x14ac:dyDescent="0.2">
      <c r="A16" t="s">
        <v>172</v>
      </c>
      <c r="K16" s="17" t="s">
        <v>172</v>
      </c>
    </row>
    <row r="17" spans="1:11" x14ac:dyDescent="0.2">
      <c r="A17" t="s">
        <v>173</v>
      </c>
      <c r="K17" s="17" t="s">
        <v>173</v>
      </c>
    </row>
    <row r="18" spans="1:11" x14ac:dyDescent="0.2">
      <c r="A18" t="s">
        <v>174</v>
      </c>
      <c r="K18" s="17" t="s">
        <v>174</v>
      </c>
    </row>
    <row r="19" spans="1:11" x14ac:dyDescent="0.2">
      <c r="A19" t="s">
        <v>175</v>
      </c>
      <c r="K19" s="17" t="s">
        <v>175</v>
      </c>
    </row>
    <row r="20" spans="1:11" x14ac:dyDescent="0.2">
      <c r="A20" t="s">
        <v>176</v>
      </c>
      <c r="K20" s="17" t="s">
        <v>176</v>
      </c>
    </row>
    <row r="21" spans="1:11" x14ac:dyDescent="0.2">
      <c r="A21" t="s">
        <v>177</v>
      </c>
      <c r="K21" s="17" t="s">
        <v>177</v>
      </c>
    </row>
    <row r="22" spans="1:11" x14ac:dyDescent="0.2">
      <c r="A22" t="s">
        <v>178</v>
      </c>
      <c r="K22" s="17" t="s">
        <v>178</v>
      </c>
    </row>
    <row r="23" spans="1:11" x14ac:dyDescent="0.2">
      <c r="A23" t="s">
        <v>141</v>
      </c>
      <c r="K23" s="17" t="s">
        <v>141</v>
      </c>
    </row>
    <row r="24" spans="1:11" x14ac:dyDescent="0.2">
      <c r="A24" t="s">
        <v>142</v>
      </c>
      <c r="K24" s="17" t="s">
        <v>142</v>
      </c>
    </row>
    <row r="25" spans="1:11" x14ac:dyDescent="0.2">
      <c r="A25" t="s">
        <v>143</v>
      </c>
      <c r="K25" s="17" t="s">
        <v>143</v>
      </c>
    </row>
    <row r="26" spans="1:11" x14ac:dyDescent="0.2">
      <c r="A26" t="s">
        <v>144</v>
      </c>
      <c r="K26" s="17" t="s">
        <v>144</v>
      </c>
    </row>
    <row r="27" spans="1:11" x14ac:dyDescent="0.2">
      <c r="A27" t="s">
        <v>145</v>
      </c>
      <c r="B27" s="17"/>
      <c r="K27" s="17" t="s">
        <v>145</v>
      </c>
    </row>
    <row r="28" spans="1:11" x14ac:dyDescent="0.2">
      <c r="A28" t="s">
        <v>146</v>
      </c>
      <c r="K28" s="17" t="s">
        <v>146</v>
      </c>
    </row>
    <row r="29" spans="1:11" x14ac:dyDescent="0.2">
      <c r="A29" t="s">
        <v>147</v>
      </c>
      <c r="K29" s="17" t="s">
        <v>147</v>
      </c>
    </row>
    <row r="30" spans="1:11" x14ac:dyDescent="0.2">
      <c r="A30" t="s">
        <v>148</v>
      </c>
      <c r="K30" s="17" t="s">
        <v>148</v>
      </c>
    </row>
    <row r="31" spans="1:11" x14ac:dyDescent="0.2">
      <c r="A31" t="s">
        <v>149</v>
      </c>
      <c r="K31" s="17" t="s">
        <v>149</v>
      </c>
    </row>
    <row r="32" spans="1:11" x14ac:dyDescent="0.2">
      <c r="A32" t="s">
        <v>151</v>
      </c>
      <c r="K32" s="17" t="s">
        <v>151</v>
      </c>
    </row>
    <row r="33" spans="1:11" x14ac:dyDescent="0.2">
      <c r="A33" t="s">
        <v>150</v>
      </c>
      <c r="K33" s="17" t="s">
        <v>150</v>
      </c>
    </row>
    <row r="34" spans="1:11" x14ac:dyDescent="0.2">
      <c r="A34" t="s">
        <v>152</v>
      </c>
      <c r="K34" s="17" t="s">
        <v>152</v>
      </c>
    </row>
    <row r="35" spans="1:11" x14ac:dyDescent="0.2">
      <c r="A35" t="s">
        <v>153</v>
      </c>
      <c r="K35" s="17" t="s">
        <v>153</v>
      </c>
    </row>
    <row r="36" spans="1:11" x14ac:dyDescent="0.2">
      <c r="A36" t="s">
        <v>154</v>
      </c>
      <c r="K36" s="17" t="s">
        <v>154</v>
      </c>
    </row>
    <row r="37" spans="1:11" x14ac:dyDescent="0.2">
      <c r="A37" t="s">
        <v>155</v>
      </c>
      <c r="K37" s="17" t="s">
        <v>155</v>
      </c>
    </row>
    <row r="38" spans="1:11" x14ac:dyDescent="0.2">
      <c r="A38" t="s">
        <v>156</v>
      </c>
      <c r="K38" s="17" t="s">
        <v>156</v>
      </c>
    </row>
    <row r="39" spans="1:11" x14ac:dyDescent="0.2">
      <c r="A39" t="s">
        <v>157</v>
      </c>
      <c r="K39" s="17" t="s">
        <v>157</v>
      </c>
    </row>
    <row r="40" spans="1:11" x14ac:dyDescent="0.2">
      <c r="A40" t="s">
        <v>158</v>
      </c>
      <c r="K40" s="17" t="s">
        <v>158</v>
      </c>
    </row>
    <row r="41" spans="1:11" x14ac:dyDescent="0.2">
      <c r="A41" t="s">
        <v>159</v>
      </c>
      <c r="K41" s="17" t="s">
        <v>159</v>
      </c>
    </row>
    <row r="42" spans="1:11" x14ac:dyDescent="0.2">
      <c r="A42" t="s">
        <v>160</v>
      </c>
      <c r="K42" s="17" t="s">
        <v>160</v>
      </c>
    </row>
    <row r="44" spans="1:11" x14ac:dyDescent="0.2">
      <c r="A44" s="70" t="s">
        <v>184</v>
      </c>
    </row>
    <row r="45" spans="1:11" x14ac:dyDescent="0.2">
      <c r="A45" s="71"/>
    </row>
  </sheetData>
  <mergeCells count="1">
    <mergeCell ref="A44:A45"/>
  </mergeCells>
  <dataValidations count="1">
    <dataValidation type="list" allowBlank="1" showInputMessage="1" showErrorMessage="1" sqref="A3:A42" xr:uid="{E49CD8D9-9E25-45C2-BD6B-532A842EA9AC}">
      <formula1>$K$3:$K$42</formula1>
    </dataValidation>
  </dataValidation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7664CE-69DE-478A-90ED-7C7AFB6DF775}">
  <dimension ref="A2:Z23"/>
  <sheetViews>
    <sheetView zoomScaleNormal="100" workbookViewId="0">
      <selection activeCell="C16" sqref="C16"/>
    </sheetView>
  </sheetViews>
  <sheetFormatPr defaultRowHeight="12.75" x14ac:dyDescent="0.2"/>
  <cols>
    <col min="1" max="1" width="10.7109375" bestFit="1" customWidth="1"/>
    <col min="2" max="2" width="19.28515625" bestFit="1" customWidth="1"/>
    <col min="4" max="4" width="9.28515625" customWidth="1"/>
    <col min="26" max="26" width="17.5703125" customWidth="1"/>
  </cols>
  <sheetData>
    <row r="2" spans="1:26" ht="15" x14ac:dyDescent="0.2">
      <c r="A2" s="85" t="s">
        <v>187</v>
      </c>
      <c r="B2" s="23" t="s">
        <v>0</v>
      </c>
      <c r="C2" s="23" t="s">
        <v>1</v>
      </c>
      <c r="D2" s="23" t="s">
        <v>123</v>
      </c>
      <c r="E2" s="23" t="s">
        <v>2</v>
      </c>
      <c r="F2" s="23" t="s">
        <v>3</v>
      </c>
      <c r="G2" s="23" t="s">
        <v>4</v>
      </c>
      <c r="H2" s="23" t="s">
        <v>7</v>
      </c>
      <c r="I2" s="23" t="s">
        <v>17</v>
      </c>
      <c r="J2" s="23" t="s">
        <v>16</v>
      </c>
      <c r="K2" s="23" t="s">
        <v>24</v>
      </c>
      <c r="L2" s="23" t="s">
        <v>25</v>
      </c>
      <c r="M2" s="23" t="s">
        <v>26</v>
      </c>
      <c r="N2" s="23" t="s">
        <v>27</v>
      </c>
      <c r="O2" s="23" t="s">
        <v>28</v>
      </c>
      <c r="P2" s="23" t="s">
        <v>29</v>
      </c>
      <c r="Q2" s="23" t="s">
        <v>30</v>
      </c>
      <c r="R2" s="23" t="s">
        <v>31</v>
      </c>
      <c r="S2" s="23" t="s">
        <v>44</v>
      </c>
      <c r="T2" s="23" t="s">
        <v>34</v>
      </c>
      <c r="U2" s="23" t="s">
        <v>45</v>
      </c>
      <c r="V2" s="23" t="s">
        <v>47</v>
      </c>
      <c r="W2" s="43" t="s">
        <v>8</v>
      </c>
      <c r="X2" s="43"/>
      <c r="Y2" s="43"/>
      <c r="Z2" s="12" t="s">
        <v>9</v>
      </c>
    </row>
    <row r="3" spans="1:26" ht="15" x14ac:dyDescent="0.2">
      <c r="B3" s="23"/>
      <c r="C3" s="23"/>
      <c r="D3" s="23"/>
      <c r="E3" s="23"/>
      <c r="F3" s="23"/>
      <c r="G3" s="23"/>
      <c r="H3" s="23"/>
      <c r="I3" s="23"/>
      <c r="J3" s="23"/>
      <c r="K3" s="23"/>
      <c r="L3" s="23"/>
      <c r="M3" s="23"/>
      <c r="N3" s="23"/>
      <c r="O3" s="23"/>
      <c r="P3" s="23"/>
      <c r="Q3" s="23"/>
      <c r="R3" s="23"/>
      <c r="S3" s="23"/>
      <c r="T3" s="23"/>
      <c r="U3" s="23"/>
      <c r="V3" s="23"/>
      <c r="W3" s="23">
        <v>1</v>
      </c>
      <c r="X3" s="23">
        <v>2</v>
      </c>
      <c r="Y3" s="23">
        <v>3</v>
      </c>
      <c r="Z3" s="7"/>
    </row>
    <row r="4" spans="1:26" x14ac:dyDescent="0.2">
      <c r="A4" s="18" t="s">
        <v>188</v>
      </c>
    </row>
    <row r="21" spans="2:3" x14ac:dyDescent="0.2">
      <c r="B21" s="17" t="s">
        <v>186</v>
      </c>
      <c r="C21" s="17"/>
    </row>
    <row r="22" spans="2:3" ht="12.75" customHeight="1" x14ac:dyDescent="0.2">
      <c r="B22" s="72" t="s">
        <v>185</v>
      </c>
      <c r="C22" s="73"/>
    </row>
    <row r="23" spans="2:3" ht="12.75" customHeight="1" x14ac:dyDescent="0.2">
      <c r="B23" s="74"/>
      <c r="C23" s="75"/>
    </row>
  </sheetData>
  <mergeCells count="2">
    <mergeCell ref="W2:Y2"/>
    <mergeCell ref="B22:C23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5</vt:i4>
      </vt:variant>
      <vt:variant>
        <vt:lpstr>Benoemde bereiken</vt:lpstr>
      </vt:variant>
      <vt:variant>
        <vt:i4>1</vt:i4>
      </vt:variant>
    </vt:vector>
  </HeadingPairs>
  <TitlesOfParts>
    <vt:vector size="6" baseType="lpstr">
      <vt:lpstr>Projectdescription</vt:lpstr>
      <vt:lpstr>Fill-in sheet Rectangular</vt:lpstr>
      <vt:lpstr>Fill-in sheet Round</vt:lpstr>
      <vt:lpstr>Montagemateriaal</vt:lpstr>
      <vt:lpstr>Totaalblad</vt:lpstr>
      <vt:lpstr>Projectdescription!Afdruktitels</vt:lpstr>
    </vt:vector>
  </TitlesOfParts>
  <Company>Brema-Air bv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Jan Rood</cp:lastModifiedBy>
  <cp:lastPrinted>2021-02-05T11:12:19Z</cp:lastPrinted>
  <dcterms:created xsi:type="dcterms:W3CDTF">2001-08-23T12:20:44Z</dcterms:created>
  <dcterms:modified xsi:type="dcterms:W3CDTF">2021-03-23T12:36:18Z</dcterms:modified>
</cp:coreProperties>
</file>